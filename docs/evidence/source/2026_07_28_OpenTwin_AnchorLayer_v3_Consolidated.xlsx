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README" state="visible" r:id="rId4"/>
    <sheet sheetId="2" name="Anchor_Core_Set" state="visible" r:id="rId5"/>
    <sheet sheetId="3" name="Region_Enum" state="visible" r:id="rId6"/>
    <sheet sheetId="4" name="Organ_Mapping_Crosswalk" state="visible" r:id="rId7"/>
    <sheet sheetId="5" name="Reference_Intervals" state="visible" r:id="rId8"/>
    <sheet sheetId="6" name="LOINC_Map" state="visible" r:id="rId9"/>
    <sheet sheetId="7" name="Data_Quality_Findings" state="visible" r:id="rId10"/>
    <sheet sheetId="8" name="C3_Audit" state="visible" r:id="rId11"/>
    <sheet sheetId="9" name="Panel_Decomposition" state="visible" r:id="rId12"/>
    <sheet sheetId="10" name="Exclusions" state="visible" r:id="rId13"/>
    <sheet sheetId="11" name="Change_Log" state="visible" r:id="rId14"/>
  </sheets>
  <definedNames>
    <definedName name="_xlnm._FilterDatabase">'Region_Enum'!$A$1:$H$26</definedName>
  </definedNames>
  <calcPr calcId="171027"/>
</workbook>
</file>

<file path=xl/sharedStrings.xml><?xml version="1.0" encoding="utf-8"?>
<sst xmlns="http://schemas.openxmlformats.org/spreadsheetml/2006/main" count="6885" uniqueCount="1875">
  <si>
    <t>OpenTwin Anchor Layer, consolidated workbook</t>
  </si>
  <si>
    <t>Version 3.0  ·  28 July 2026  ·  supersedes the 2026-07-27 and 2026-07 FineTuned workbooks</t>
  </si>
  <si>
    <t>Punch line</t>
  </si>
  <si>
    <t>Biomarker measurement first, interpretation second. A quantity must be measurable, in a declared unit, against an interval, before any interpretive layer may touch it.</t>
  </si>
  <si>
    <t>HEADLINE NUMBERS</t>
  </si>
  <si>
    <t>Core markers in the anchor set</t>
  </si>
  <si>
    <t>Unchanged across both source workbooks.</t>
  </si>
  <si>
    <t>Markers with no blocking or open flag</t>
  </si>
  <si>
    <t>Ready to build against today.</t>
  </si>
  <si>
    <t>Markers with a BLOCKING flag</t>
  </si>
  <si>
    <t>LOINC property disagrees with the declared unit. Needs a decision, see Data_Quality_Findings F-01 to F-03.</t>
  </si>
  <si>
    <t>Markers with at least one interval on file</t>
  </si>
  <si>
    <t>Interpretation is possible for these today.</t>
  </si>
  <si>
    <t>Markers with no interval, model abstains</t>
  </si>
  <si>
    <t>NOT a defect. Per SAD invariant 3 a null interval means the model abstains and says why.</t>
  </si>
  <si>
    <t>Candidate reference intervals recorded</t>
  </si>
  <si>
    <t>Candidates, not canonical values. Many markers carry more than one.</t>
  </si>
  <si>
    <t>Region enum size (closed)</t>
  </si>
  <si>
    <t>Adding a region is a contract change and needs an ADR.</t>
  </si>
  <si>
    <t>Terminology codes still UNVERIFIED</t>
  </si>
  <si>
    <t>The review work queue. CI stays red until a named human signs these off.</t>
  </si>
  <si>
    <t>Open findings</t>
  </si>
  <si>
    <t>See Data_Quality_Findings.</t>
  </si>
  <si>
    <t>SHEETS</t>
  </si>
  <si>
    <t>Anchor_Core_Set</t>
  </si>
  <si>
    <t>67 rows</t>
  </si>
  <si>
    <t>The core set, with UCUM units, region ids and blocking flags. The two right-hand columns are formulas driven off Reference_Intervals.</t>
  </si>
  <si>
    <t>Region_Enum</t>
  </si>
  <si>
    <t>25 rows</t>
  </si>
  <si>
    <t>Closed vocabulary of body regions, split into anatomical and system. Proposed SNOMED and UBERON bindings, all UNVERIFIED.</t>
  </si>
  <si>
    <t>Organ_Mapping_Crosswalk</t>
  </si>
  <si>
    <t>26 rows</t>
  </si>
  <si>
    <t>How each free-text organ_mapping token resolves. Three tokens are proposed for retirement.</t>
  </si>
  <si>
    <t>Reference_Intervals</t>
  </si>
  <si>
    <t>98 rows</t>
  </si>
  <si>
    <t>Candidate intervals with issuer, issuer kind, source URL and retrieval date. Interpretive bands are tagged separately.</t>
  </si>
  <si>
    <t>LOINC_Map</t>
  </si>
  <si>
    <t>69 rows</t>
  </si>
  <si>
    <t>Codes with loinc.org URLs and the review-record path each one needs.</t>
  </si>
  <si>
    <t>Data_Quality_Findings</t>
  </si>
  <si>
    <t>16 rows</t>
  </si>
  <si>
    <t>Every known defect and open question, with severity, owner and status.</t>
  </si>
  <si>
    <t>C3_Audit</t>
  </si>
  <si>
    <t>20 rows</t>
  </si>
  <si>
    <t>Guideline anchoring pass, carried over unchanged.</t>
  </si>
  <si>
    <t>Panel_Decomposition</t>
  </si>
  <si>
    <t>21 rows</t>
  </si>
  <si>
    <t>How the composite panels were decomposed, carried over unchanged.</t>
  </si>
  <si>
    <t>Exclusions</t>
  </si>
  <si>
    <t>372 rows</t>
  </si>
  <si>
    <t>The negative space. Why 355 of 422 markers are not in the core set.</t>
  </si>
  <si>
    <t>Change_Log</t>
  </si>
  <si>
    <t>9 rows</t>
  </si>
  <si>
    <t>What changed in this version and why.</t>
  </si>
  <si>
    <t>PROVENANCE</t>
  </si>
  <si>
    <t>2026_07_27_OpenTwin_AnchorLayer.xlsx</t>
  </si>
  <si>
    <t>Taken from the earlier file. The FineTuned version lost the parsed low, high and population columns: 98 populated rows became 0. See finding F-04.</t>
  </si>
  <si>
    <t>Everything else</t>
  </si>
  <si>
    <t>2026_07_OpenTwin_AnchorLayer_FineTuned.xlsx</t>
  </si>
  <si>
    <t>The later file added organ_mapping, LOINC_Map, C3_Audit, Panel_Decomposition and Exclusions.</t>
  </si>
  <si>
    <t>Interval issuers</t>
  </si>
  <si>
    <t>IMD Berlin Leistungsverzeichnis (12.02.2025); IMD Berlin-Potsdam Referenzbereiche (28.09.2015)</t>
  </si>
  <si>
    <t>URLs and retrieval date 2026-07-12 taken from the Landscape Review reference list.</t>
  </si>
  <si>
    <t>UCUM mapping</t>
  </si>
  <si>
    <t>Added here</t>
  </si>
  <si>
    <t>Hypothesis only. Must be validated against a real UCUM grammar library in CI before it is trusted.</t>
  </si>
  <si>
    <t>Region enum and codes</t>
  </si>
  <si>
    <t>Proposed here</t>
  </si>
  <si>
    <t>SNOMED and UBERON identifiers are proposed and UNVERIFIED. They are not a source of codes.</t>
  </si>
  <si>
    <t>HOW TO READ THE FLAGS</t>
  </si>
  <si>
    <t>BLOCKING</t>
  </si>
  <si>
    <t>A real defect. Do not build against this row until it is resolved.</t>
  </si>
  <si>
    <t>OPEN</t>
  </si>
  <si>
    <t>A decision is needed but the row is usable with the decision recorded.</t>
  </si>
  <si>
    <t>none</t>
  </si>
  <si>
    <t>Clean. UCUM maps, LOINC property agrees with the unit, region assigned.</t>
  </si>
  <si>
    <t>UNVERIFIED</t>
  </si>
  <si>
    <t>A code nobody has signed off yet. Not the same as a code that is wrong, and not the same as one that is right.</t>
  </si>
  <si>
    <t>biomarker_id</t>
  </si>
  <si>
    <t>name_de</t>
  </si>
  <si>
    <t>loinc_code</t>
  </si>
  <si>
    <t>loinc_name</t>
  </si>
  <si>
    <t>loinc_status</t>
  </si>
  <si>
    <t>loinc_review_record</t>
  </si>
  <si>
    <t>unit_source</t>
  </si>
  <si>
    <t>unit_ucum</t>
  </si>
  <si>
    <t>ucum_note</t>
  </si>
  <si>
    <t>organ_mapping_source</t>
  </si>
  <si>
    <t>region_ids</t>
  </si>
  <si>
    <t>region_assignment</t>
  </si>
  <si>
    <t>tier</t>
  </si>
  <si>
    <t>core_set_rule</t>
  </si>
  <si>
    <t>source_panel</t>
  </si>
  <si>
    <t>providers</t>
  </si>
  <si>
    <t>provider_count</t>
  </si>
  <si>
    <t>c3_guideline</t>
  </si>
  <si>
    <t>c3_guideline_url</t>
  </si>
  <si>
    <t>blocking_flags</t>
  </si>
  <si>
    <t>interval_count</t>
  </si>
  <si>
    <t>interval_availability</t>
  </si>
  <si>
    <t>BM-001</t>
  </si>
  <si>
    <t>17-Beta-Östradiol</t>
  </si>
  <si>
    <t>14715-7</t>
  </si>
  <si>
    <t>Estradiol (E2) [Moles/volume] in Serum or Plasma</t>
  </si>
  <si>
    <t>validated</t>
  </si>
  <si>
    <t>pmol/l</t>
  </si>
  <si>
    <t>pmol/L</t>
  </si>
  <si>
    <t>Reproductive, Endocrine</t>
  </si>
  <si>
    <t>gonads</t>
  </si>
  <si>
    <t>ok</t>
  </si>
  <si>
    <t>core_tier1</t>
  </si>
  <si>
    <t>C1</t>
  </si>
  <si>
    <t>IMD, Limbach, Meinlabor</t>
  </si>
  <si>
    <t>BM-014</t>
  </si>
  <si>
    <t>Anti-Müller-Hormon (AMH)</t>
  </si>
  <si>
    <t>83104-0</t>
  </si>
  <si>
    <t>Mullerian inhibiting substance [Mass/volume] in Serum or Plasma by Immunoassay</t>
  </si>
  <si>
    <t>ng/ml</t>
  </si>
  <si>
    <t>ng/mL</t>
  </si>
  <si>
    <t>core_tier2</t>
  </si>
  <si>
    <t>C1prime</t>
  </si>
  <si>
    <t>Limbach, Meinlabor</t>
  </si>
  <si>
    <t>NICE NG257 Fertility problems (2026): use AMH measurement as predictor of ovarian response in assisted conception</t>
  </si>
  <si>
    <t>https://www.nice.org.uk/guidance/ng257</t>
  </si>
  <si>
    <t>BM-057</t>
  </si>
  <si>
    <t>Biotin (Vitamin B7)</t>
  </si>
  <si>
    <t>1980-2</t>
  </si>
  <si>
    <t>Biotin [Mass/volume] in Serum or Plasma</t>
  </si>
  <si>
    <t>ng/l</t>
  </si>
  <si>
    <t>ng/L</t>
  </si>
  <si>
    <t>Nutritional, Systemic</t>
  </si>
  <si>
    <t>micronutrient_status</t>
  </si>
  <si>
    <t>IMD, Limbach</t>
  </si>
  <si>
    <t>ESPEN micronutrient guideline Rec 19.2 (via AWMF 073-019 deferral): biotin status by direct blood/urine biotin + biotinidase</t>
  </si>
  <si>
    <t>https://doi.org/10.1016/j.clnu.2024.01.030</t>
  </si>
  <si>
    <t>BM-060</t>
  </si>
  <si>
    <t>Bor</t>
  </si>
  <si>
    <t>52914-9</t>
  </si>
  <si>
    <t>Boron [Moles/volume] in Serum or Plasma</t>
  </si>
  <si>
    <t>µg/l</t>
  </si>
  <si>
    <t>ug/L</t>
  </si>
  <si>
    <t>Micro sign must be ASCII u in the case sensitive form.</t>
  </si>
  <si>
    <t>Micronutrient, Systemic</t>
  </si>
  <si>
    <t>BLOCKING: LOINC property is molar, unit is mass</t>
  </si>
  <si>
    <t>BM-063</t>
  </si>
  <si>
    <t>Calcium</t>
  </si>
  <si>
    <t>2000-8</t>
  </si>
  <si>
    <t>Calcium [Moles/volume] in Serum or Plasma</t>
  </si>
  <si>
    <t>mmol/l</t>
  </si>
  <si>
    <t>mmol/L</t>
  </si>
  <si>
    <t>Bone, Mineral Metabolism</t>
  </si>
  <si>
    <t>bone|electrolyte_balance</t>
  </si>
  <si>
    <t>BM-064</t>
  </si>
  <si>
    <t>Calprotectin</t>
  </si>
  <si>
    <t>38445-3</t>
  </si>
  <si>
    <t>Calprotectin [Mass/mass] in Stool</t>
  </si>
  <si>
    <t>µg/g</t>
  </si>
  <si>
    <t>ug/g</t>
  </si>
  <si>
    <t>Gastrointestinal</t>
  </si>
  <si>
    <t>gut</t>
  </si>
  <si>
    <t>IMD, Meinlabor</t>
  </si>
  <si>
    <t>NICE DG11 Faecal calprotectin diagnostic tests for inflammatory diseases of the bowel</t>
  </si>
  <si>
    <t>https://www.nice.org.uk/guidance/dg11</t>
  </si>
  <si>
    <t>BM-072</t>
  </si>
  <si>
    <t>Cholesterin (gesamt)</t>
  </si>
  <si>
    <t>2093-3</t>
  </si>
  <si>
    <t>Cholesterol [Mass/volume] in Serum or Plasma</t>
  </si>
  <si>
    <t>mg/dl</t>
  </si>
  <si>
    <t>mg/dL</t>
  </si>
  <si>
    <t>Cardiometabolic, Hepatic</t>
  </si>
  <si>
    <t>lipid_transport|vasculature|liver</t>
  </si>
  <si>
    <t>BM-077</t>
  </si>
  <si>
    <t>Cortisol</t>
  </si>
  <si>
    <t>2143-6</t>
  </si>
  <si>
    <t>Cortisol [Mass/volume] in Serum or Plasma</t>
  </si>
  <si>
    <t>Adrenal, Endocrine</t>
  </si>
  <si>
    <t>adrenal</t>
  </si>
  <si>
    <t>BM-078</t>
  </si>
  <si>
    <t>Creatinkinase (CK)</t>
  </si>
  <si>
    <t>2157-6</t>
  </si>
  <si>
    <t>Creatine kinase [Enzymatic activity/volume] in Serum or Plasma</t>
  </si>
  <si>
    <t>U/l</t>
  </si>
  <si>
    <t>U/L</t>
  </si>
  <si>
    <t>Musculoskeletal</t>
  </si>
  <si>
    <t>skeletal_muscle</t>
  </si>
  <si>
    <t>NICE NG238 CVD risk / lipid modification: measure creatine kinase before/on statin if unexplained muscle symptoms</t>
  </si>
  <si>
    <t>https://www.nice.org.uk/guidance/ng238</t>
  </si>
  <si>
    <t>BM-079</t>
  </si>
  <si>
    <t>CRP (hochsensitiv)</t>
  </si>
  <si>
    <t>30522-7</t>
  </si>
  <si>
    <t>C reactive protein [Mass/volume] in Serum or Plasma by High sensitivity method</t>
  </si>
  <si>
    <t>mg/l</t>
  </si>
  <si>
    <t>mg/L</t>
  </si>
  <si>
    <t>Systemic Inflammation</t>
  </si>
  <si>
    <t>systemic_inflammation</t>
  </si>
  <si>
    <t>BM-087</t>
  </si>
  <si>
    <t>DHEA-S</t>
  </si>
  <si>
    <t>2191-5</t>
  </si>
  <si>
    <t>Dehydroepiandrosterone sulfate [Mass/volume] in Serum or Plasma</t>
  </si>
  <si>
    <t>Adrenal</t>
  </si>
  <si>
    <t>BM-107</t>
  </si>
  <si>
    <t>Ferritin</t>
  </si>
  <si>
    <t>2276-4</t>
  </si>
  <si>
    <t>Ferritin [Mass/volume] in Serum or Plasma</t>
  </si>
  <si>
    <t>Hematologic, Nutritional</t>
  </si>
  <si>
    <t>bone_marrow_blood|micronutrient_status</t>
  </si>
  <si>
    <t>BM-111</t>
  </si>
  <si>
    <t>Folsäure (Vitamin B9)</t>
  </si>
  <si>
    <t>2284-8</t>
  </si>
  <si>
    <t>Folate [Mass/volume] in Serum or Plasma</t>
  </si>
  <si>
    <t>BM-114</t>
  </si>
  <si>
    <t>freies T3 (FT3)</t>
  </si>
  <si>
    <t>3051-0</t>
  </si>
  <si>
    <t>Triiodothyronine (T3) Free [Mass/volume] in Serum or Plasma</t>
  </si>
  <si>
    <t>pg/ml</t>
  </si>
  <si>
    <t>pg/mL</t>
  </si>
  <si>
    <t>Thyroid</t>
  </si>
  <si>
    <t>thyroid</t>
  </si>
  <si>
    <t>BM-115</t>
  </si>
  <si>
    <t>freies T4 (FT4)</t>
  </si>
  <si>
    <t>3024-7</t>
  </si>
  <si>
    <t>Thyroxine (T4) free [Mass/volume] in Serum or Plasma</t>
  </si>
  <si>
    <t>BM-119</t>
  </si>
  <si>
    <t>FSH</t>
  </si>
  <si>
    <t>15067-2</t>
  </si>
  <si>
    <t>Follitropin [Units/volume] in Serum or Plasma</t>
  </si>
  <si>
    <t>Pituitary, Reproductive</t>
  </si>
  <si>
    <t>pituitary|gonads</t>
  </si>
  <si>
    <t>NICE NG257: offer blood test to measure serum gonadotrophins (FSH and LH) in irregular cycles</t>
  </si>
  <si>
    <t>BM-123</t>
  </si>
  <si>
    <t>Gamma-GT (GGT)</t>
  </si>
  <si>
    <t>2324-2</t>
  </si>
  <si>
    <t>Gamma glutamyl transferase [Enzymatic activity/volume] in Serum or Plasma</t>
  </si>
  <si>
    <t>Hepatobiliary</t>
  </si>
  <si>
    <t>liver|biliary</t>
  </si>
  <si>
    <t>BM-125</t>
  </si>
  <si>
    <t>Gesamteiweiß</t>
  </si>
  <si>
    <t>2885-2</t>
  </si>
  <si>
    <t>Protein [Mass/volume] in Serum or Plasma</t>
  </si>
  <si>
    <t>g/l</t>
  </si>
  <si>
    <t>g/L</t>
  </si>
  <si>
    <t>Systemic</t>
  </si>
  <si>
    <t>liver</t>
  </si>
  <si>
    <t>override_applied</t>
  </si>
  <si>
    <t>AWMF 021-021 S2k Zöliakie: screen for Eiweiß (Hypoproteinämie) among deficiency parameters</t>
  </si>
  <si>
    <t>https://register.awmf.org/de/leitlinien/detail/021-021</t>
  </si>
  <si>
    <t>NOTE: region assigned by override, confirm</t>
  </si>
  <si>
    <t>BM-128</t>
  </si>
  <si>
    <t>Glukose</t>
  </si>
  <si>
    <t>1558-6</t>
  </si>
  <si>
    <t>Fasting glucose [Mass/volume] in Serum or Plasma</t>
  </si>
  <si>
    <t>Metabolic</t>
  </si>
  <si>
    <t>metabolic_glycemic</t>
  </si>
  <si>
    <t>BM-130</t>
  </si>
  <si>
    <t>GOT (ASAT)</t>
  </si>
  <si>
    <t>1920-8</t>
  </si>
  <si>
    <t>Aspartate aminotransferase [Enzymatic activity/volume] in Serum or Plasma</t>
  </si>
  <si>
    <t>Hepatic, Musculoskeletal</t>
  </si>
  <si>
    <t>liver|skeletal_muscle</t>
  </si>
  <si>
    <t>BM-132</t>
  </si>
  <si>
    <t>GPT (ALAT)</t>
  </si>
  <si>
    <t>1742-6</t>
  </si>
  <si>
    <t>Alanine aminotransferase [Enzymatic activity/volume] in Serum or Plasma</t>
  </si>
  <si>
    <t>Hepatic</t>
  </si>
  <si>
    <t>BM-136</t>
  </si>
  <si>
    <t>Harnsäure</t>
  </si>
  <si>
    <t>3084-1</t>
  </si>
  <si>
    <t>Urate [Mass/volume] in Serum or Plasma</t>
  </si>
  <si>
    <t>Renal, Metabolic</t>
  </si>
  <si>
    <t>kidney</t>
  </si>
  <si>
    <t>NEEDS_DECISION</t>
  </si>
  <si>
    <t>NICE NG219 Gout: measure serum urate to confirm diagnosis and for ULT monitoring</t>
  </si>
  <si>
    <t>https://www.nice.org.uk/guidance/ng219</t>
  </si>
  <si>
    <t>OPEN: region assignment needs a decision</t>
  </si>
  <si>
    <t>BM-139</t>
  </si>
  <si>
    <t>HbA1c</t>
  </si>
  <si>
    <t>4548-4</t>
  </si>
  <si>
    <t>Hemoglobin A1c/Hemoglobin.total in Blood</t>
  </si>
  <si>
    <t>%</t>
  </si>
  <si>
    <t>Valid only because the LOINC term is itself a ratio.</t>
  </si>
  <si>
    <t>Metabolic, Pancreatic</t>
  </si>
  <si>
    <t>BM-140</t>
  </si>
  <si>
    <t>HDL-Cholesterin</t>
  </si>
  <si>
    <t>2085-9</t>
  </si>
  <si>
    <t>Cholesterol in HDL [Mass/volume] in Serum or Plasma</t>
  </si>
  <si>
    <t>BM-154</t>
  </si>
  <si>
    <t>Holotranscobalamin (aktives B12)</t>
  </si>
  <si>
    <t>72160-5</t>
  </si>
  <si>
    <t>Holo-transcobalamin II [Moles/volume] in Serum</t>
  </si>
  <si>
    <t>BM-156</t>
  </si>
  <si>
    <t>Homocystein</t>
  </si>
  <si>
    <t>13965-9</t>
  </si>
  <si>
    <t>Homocysteine [Moles/volume] in Serum or Plasma</t>
  </si>
  <si>
    <t>µmol/l</t>
  </si>
  <si>
    <t>umol/L</t>
  </si>
  <si>
    <t>NICE NG239 Vitamin B12 deficiency: measure plasma homocysteine</t>
  </si>
  <si>
    <t>https://www.nice.org.uk/guidance/ng239</t>
  </si>
  <si>
    <t>BM-176</t>
  </si>
  <si>
    <t>Jod</t>
  </si>
  <si>
    <t>2494-3</t>
  </si>
  <si>
    <t>Iodine [Mass/volume] in Serum or Plasma</t>
  </si>
  <si>
    <t>BM-177</t>
  </si>
  <si>
    <t>Kalium</t>
  </si>
  <si>
    <t>2823-3</t>
  </si>
  <si>
    <t>Potassium [Moles/volume] in Serum or Plasma</t>
  </si>
  <si>
    <t>Renal, Electrolyte Balance</t>
  </si>
  <si>
    <t>kidney|electrolyte_balance</t>
  </si>
  <si>
    <t>BM-186</t>
  </si>
  <si>
    <t>Kupfer</t>
  </si>
  <si>
    <t>14665-4</t>
  </si>
  <si>
    <t>Copper [Moles/volume] in Serum or Plasma</t>
  </si>
  <si>
    <t>BM-190</t>
  </si>
  <si>
    <t>LDL-Cholesterin</t>
  </si>
  <si>
    <t>2089-1</t>
  </si>
  <si>
    <t>Cholesterol in LDL [Mass/volume] in Serum or Plasma</t>
  </si>
  <si>
    <t>BM-197</t>
  </si>
  <si>
    <t>LH</t>
  </si>
  <si>
    <t>10501-5</t>
  </si>
  <si>
    <t>Lutropin [Units/volume] in Serum or Plasma</t>
  </si>
  <si>
    <t>BM-200</t>
  </si>
  <si>
    <t>Lipoprotein (a)</t>
  </si>
  <si>
    <t>10835-7</t>
  </si>
  <si>
    <t>Lipoprotein a [Mass/volume] in Serum or Plasma</t>
  </si>
  <si>
    <t>BM-258</t>
  </si>
  <si>
    <t>Magnesium</t>
  </si>
  <si>
    <t>2601-3</t>
  </si>
  <si>
    <t>Magnesium [Moles/volume] in Serum or Plasma</t>
  </si>
  <si>
    <t>Metabolic, Neuromuscular</t>
  </si>
  <si>
    <t>electrolyte_balance</t>
  </si>
  <si>
    <t>BM-286</t>
  </si>
  <si>
    <t>Natrium</t>
  </si>
  <si>
    <t>2951-2</t>
  </si>
  <si>
    <t>Sodium [Moles/volume] in Serum or Plasma</t>
  </si>
  <si>
    <t>BM-299</t>
  </si>
  <si>
    <t>Parathormon (PTH)</t>
  </si>
  <si>
    <t>2731-8</t>
  </si>
  <si>
    <t>Parathyrin.intact [Mass/volume] in Serum or Plasma</t>
  </si>
  <si>
    <t>Parathyroid, Bone</t>
  </si>
  <si>
    <t>parathyroid|bone</t>
  </si>
  <si>
    <t>BM-311</t>
  </si>
  <si>
    <t>Progesteron</t>
  </si>
  <si>
    <t>14890-8</t>
  </si>
  <si>
    <t>Progesterone [Moles/volume] in Serum or Plasma</t>
  </si>
  <si>
    <t>nmol/l</t>
  </si>
  <si>
    <t>nmol/L</t>
  </si>
  <si>
    <t>BM-312</t>
  </si>
  <si>
    <t>Prolaktin</t>
  </si>
  <si>
    <t>2842-3</t>
  </si>
  <si>
    <t>Prolactin [Mass/volume] in Serum or Plasma</t>
  </si>
  <si>
    <t>NICE NG257: measure prolactin when ovulatory disorder, galactorrhoea, or suspected pituitary tumour</t>
  </si>
  <si>
    <t>BM-315</t>
  </si>
  <si>
    <t>PSA</t>
  </si>
  <si>
    <t>2857-1</t>
  </si>
  <si>
    <t>Prostate specific Ag [Mass/volume] in Serum or Plasma</t>
  </si>
  <si>
    <t>Prostate</t>
  </si>
  <si>
    <t>prostate</t>
  </si>
  <si>
    <t>NICE NG131 Prostate cancer: measure PSA for diagnosis pathway, active surveillance, and follow-up</t>
  </si>
  <si>
    <t>https://www.nice.org.uk/guidance/ng131</t>
  </si>
  <si>
    <t>BM-341</t>
  </si>
  <si>
    <t>Selen</t>
  </si>
  <si>
    <t>5724-0</t>
  </si>
  <si>
    <t>Selenium [Mass/volume] in Serum or Plasma</t>
  </si>
  <si>
    <t>BM-346</t>
  </si>
  <si>
    <t>SHBG</t>
  </si>
  <si>
    <t>13967-5</t>
  </si>
  <si>
    <t>Sex hormone binding globulin [Moles/volume] in Serum or Plasma</t>
  </si>
  <si>
    <t>Hepatic, Endocrine</t>
  </si>
  <si>
    <t>BM-358</t>
  </si>
  <si>
    <t>Testosteron (gesamt)</t>
  </si>
  <si>
    <t>14913-8</t>
  </si>
  <si>
    <t>Testosterone [Moles/volume] in Serum or Plasma</t>
  </si>
  <si>
    <t>BM-383</t>
  </si>
  <si>
    <t>Triglyceride</t>
  </si>
  <si>
    <t>2571-8</t>
  </si>
  <si>
    <t>Triglyceride [Mass/volume] in Serum or Plasma</t>
  </si>
  <si>
    <t>BM-386</t>
  </si>
  <si>
    <t>TSH</t>
  </si>
  <si>
    <t>3016-3</t>
  </si>
  <si>
    <t>Thyrotropin [Units/volume] in Serum or Plasma</t>
  </si>
  <si>
    <t>mIU/l</t>
  </si>
  <si>
    <t>m[IU]/L</t>
  </si>
  <si>
    <t>IU is a UCUM special unit. Square brackets are mandatory.</t>
  </si>
  <si>
    <t>Pituitary, Thyroid Axis</t>
  </si>
  <si>
    <t>pituitary|thyroid</t>
  </si>
  <si>
    <t>BM-392</t>
  </si>
  <si>
    <t>Vitamin A</t>
  </si>
  <si>
    <t>2923-1</t>
  </si>
  <si>
    <t>Retinol [Mass/volume] in Serum or Plasma</t>
  </si>
  <si>
    <t>WHO NMH/NHD/MNM/11.3 serum retinol; ESPEN Rec 22.2: determine status by measuring serum retinol</t>
  </si>
  <si>
    <t>https://www.who.int/publications/i/item/WHO-NMH-NHD-MNM-11.3</t>
  </si>
  <si>
    <t>BM-393</t>
  </si>
  <si>
    <t>Vitamin B1 (Thiamin)</t>
  </si>
  <si>
    <t>2998-3</t>
  </si>
  <si>
    <t>Thiamine [Mass/volume] in Blood</t>
  </si>
  <si>
    <t>ESPEN micronutrient guideline Rec 14.2 (via AWMF 073-019): thiamine status by RBC/whole-blood ThDP</t>
  </si>
  <si>
    <t>BM-394</t>
  </si>
  <si>
    <t>Vitamin B12</t>
  </si>
  <si>
    <t>2132-9</t>
  </si>
  <si>
    <t>Cobalamins [Mass/volume] in Serum or Plasma</t>
  </si>
  <si>
    <t>NICE NG239: use total B12 or active B12 as initial diagnostic test</t>
  </si>
  <si>
    <t>BM-395</t>
  </si>
  <si>
    <t>Vitamin B2 (Riboflavin)</t>
  </si>
  <si>
    <t>2924-9</t>
  </si>
  <si>
    <t>Riboflavin [Mass/volume] in Serum or Plasma</t>
  </si>
  <si>
    <t>BM-397</t>
  </si>
  <si>
    <t>Vitamin B5 (Pantothensäure)</t>
  </si>
  <si>
    <t>2722-7</t>
  </si>
  <si>
    <t>Pantothenate [Mass/volume] in Serum or Plasma or Blood</t>
  </si>
  <si>
    <t>ESPEN micronutrient guideline Rec 17 (via AWMF 073-019): pantothenic acid shall be determined in blood</t>
  </si>
  <si>
    <t>BM-398</t>
  </si>
  <si>
    <t>Vitamin B6</t>
  </si>
  <si>
    <t>30552-4</t>
  </si>
  <si>
    <t>Pyridoxal phosphate [Mass/volume] in Serum or Plasma</t>
  </si>
  <si>
    <t>AWMF 021-021 Zöliakie (Vitamin B6 deficiency screen); ESPEN Rec 18.2: status by plasma PLP</t>
  </si>
  <si>
    <t>BM-401</t>
  </si>
  <si>
    <t>Vitamin D (25-OH)</t>
  </si>
  <si>
    <t>1989-3</t>
  </si>
  <si>
    <t>Calcidiol [Mass/volume] in Serum or Plasma</t>
  </si>
  <si>
    <t>Bone, Endocrine</t>
  </si>
  <si>
    <t>bone</t>
  </si>
  <si>
    <t>BM-404</t>
  </si>
  <si>
    <t>Vitamin E</t>
  </si>
  <si>
    <t>1823-4</t>
  </si>
  <si>
    <t>Alpha tocopherol [Mass/volume] in Serum or Plasma</t>
  </si>
  <si>
    <t>ESPEN micronutrient guideline Rec 25.2 (via AWMF 073-019): measure plasma α-tocopherol</t>
  </si>
  <si>
    <t>BM-405</t>
  </si>
  <si>
    <t>Vitamin K</t>
  </si>
  <si>
    <t>58793-1</t>
  </si>
  <si>
    <t>Phytonadione [Moles/volume] in Serum or Plasma</t>
  </si>
  <si>
    <t>ESPEN micronutrient guideline Rec 26 (via AWMF 073-019): vitamin K status may be measured in at-risk patients</t>
  </si>
  <si>
    <t>BM-411</t>
  </si>
  <si>
    <t>Zink</t>
  </si>
  <si>
    <t>5763-8</t>
  </si>
  <si>
    <t>Zinc [Mass/volume] in Serum or Plasma</t>
  </si>
  <si>
    <t>BM-423</t>
  </si>
  <si>
    <t>Hämoglobin</t>
  </si>
  <si>
    <t>718-7</t>
  </si>
  <si>
    <t>Hemoglobin [Mass/volume] in Blood</t>
  </si>
  <si>
    <t>g/dl</t>
  </si>
  <si>
    <t>g/dL</t>
  </si>
  <si>
    <t>Hematologic</t>
  </si>
  <si>
    <t>bone_marrow_blood</t>
  </si>
  <si>
    <t>core_tier1_decomposed</t>
  </si>
  <si>
    <t>Großes Blutbild</t>
  </si>
  <si>
    <t>BM-424</t>
  </si>
  <si>
    <t>Hämatokrit</t>
  </si>
  <si>
    <t>4544-3</t>
  </si>
  <si>
    <t>Hematocrit [Volume Fraction] of Blood by Automated count</t>
  </si>
  <si>
    <t>BM-425</t>
  </si>
  <si>
    <t>Erythrozyten</t>
  </si>
  <si>
    <t>789-8</t>
  </si>
  <si>
    <t>Erythrocytes [#/volume] in Blood by Automated count</t>
  </si>
  <si>
    <t>T/l</t>
  </si>
  <si>
    <t>10*12/L</t>
  </si>
  <si>
    <t>German T/l (Tera per litre). T/L would be tesla per litre.</t>
  </si>
  <si>
    <t>BM-426</t>
  </si>
  <si>
    <t>Leukozyten</t>
  </si>
  <si>
    <t>6690-2</t>
  </si>
  <si>
    <t>Leukocytes [#/volume] in Blood by Automated count</t>
  </si>
  <si>
    <t>G/l</t>
  </si>
  <si>
    <t>10*9/L</t>
  </si>
  <si>
    <t>German G/l (Giga per litre). G/L would be gauss per litre.</t>
  </si>
  <si>
    <t>Immune, Hematologic</t>
  </si>
  <si>
    <t>immune|bone_marrow_blood</t>
  </si>
  <si>
    <t>BM-427</t>
  </si>
  <si>
    <t>Thrombozyten</t>
  </si>
  <si>
    <t>777-3</t>
  </si>
  <si>
    <t>Platelets [#/volume] in Blood by Automated count</t>
  </si>
  <si>
    <t>BM-428</t>
  </si>
  <si>
    <t>MCV</t>
  </si>
  <si>
    <t>787-2</t>
  </si>
  <si>
    <t>Erythrocyte mean corpuscular volume [Entitic volume] by Automated count</t>
  </si>
  <si>
    <t>fl</t>
  </si>
  <si>
    <t>fL</t>
  </si>
  <si>
    <t>UCUM is case sensitive. Lowercase fl is not femtolitre.</t>
  </si>
  <si>
    <t>BM-429</t>
  </si>
  <si>
    <t>MCH</t>
  </si>
  <si>
    <t>785-6</t>
  </si>
  <si>
    <t>Erythrocyte mean corpuscular hemoglobin [Entitic mass] by Automated count</t>
  </si>
  <si>
    <t>pg</t>
  </si>
  <si>
    <t>BM-430</t>
  </si>
  <si>
    <t>MCHC</t>
  </si>
  <si>
    <t>786-4</t>
  </si>
  <si>
    <t>Erythrocyte mean corpuscular hemoglobin concentration [Mass/volume] by Automated count</t>
  </si>
  <si>
    <t>BM-431</t>
  </si>
  <si>
    <t>IgA</t>
  </si>
  <si>
    <t>2458-8</t>
  </si>
  <si>
    <t>IgA [Mass/volume] in Serum or Plasma</t>
  </si>
  <si>
    <t>Immune</t>
  </si>
  <si>
    <t>immune</t>
  </si>
  <si>
    <t>Immunglobuline (IgA/IgG/IgM)</t>
  </si>
  <si>
    <t>BM-432</t>
  </si>
  <si>
    <t>IgG</t>
  </si>
  <si>
    <t>2465-3</t>
  </si>
  <si>
    <t>IgG [Mass/volume] in Serum or Plasma</t>
  </si>
  <si>
    <t>BM-433</t>
  </si>
  <si>
    <t>IgM</t>
  </si>
  <si>
    <t>2472-9</t>
  </si>
  <si>
    <t>IgM [Mass/volume] in Serum or Plasma</t>
  </si>
  <si>
    <t>BM-434</t>
  </si>
  <si>
    <t>CTX (Beta-Crosslaps)</t>
  </si>
  <si>
    <t>41171-0</t>
  </si>
  <si>
    <t>Collagen crosslinked C-telopeptide [Mass/volume] in Serum or Plasma</t>
  </si>
  <si>
    <t>Bone</t>
  </si>
  <si>
    <t>Knochen-Crosslinks (CTX/Pyridinoline)</t>
  </si>
  <si>
    <t>BM-435</t>
  </si>
  <si>
    <t>Desoxypyridinolin (DPD)</t>
  </si>
  <si>
    <t>25095-1</t>
  </si>
  <si>
    <t>Deoxypyridinoline/Creatinine [Molar ratio] in Urine</t>
  </si>
  <si>
    <t>nmol/mmol Krea</t>
  </si>
  <si>
    <t>nmol/mmol</t>
  </si>
  <si>
    <t>Creatinine normalisation belongs in the LOINC term, not the unit.</t>
  </si>
  <si>
    <t>BM-436</t>
  </si>
  <si>
    <t>Kreatinin</t>
  </si>
  <si>
    <t>2160-0</t>
  </si>
  <si>
    <t>Creatinine [Mass/volume] in Serum or Plasma</t>
  </si>
  <si>
    <t>Renal</t>
  </si>
  <si>
    <t>Kreatinin / Nierenwerte</t>
  </si>
  <si>
    <t>region_id</t>
  </si>
  <si>
    <t>region_kind</t>
  </si>
  <si>
    <t>label</t>
  </si>
  <si>
    <t>snomed_body_structure</t>
  </si>
  <si>
    <t>uberon_id</t>
  </si>
  <si>
    <t>snomed_review_record</t>
  </si>
  <si>
    <t>uberon_review_record</t>
  </si>
  <si>
    <t>markers_mapped</t>
  </si>
  <si>
    <t>anatomical</t>
  </si>
  <si>
    <t>Liver</t>
  </si>
  <si>
    <t>10200004</t>
  </si>
  <si>
    <t>UBERON:0002107</t>
  </si>
  <si>
    <t>biliary</t>
  </si>
  <si>
    <t>Biliary tract</t>
  </si>
  <si>
    <t>28273000</t>
  </si>
  <si>
    <t>UBERON:0002394</t>
  </si>
  <si>
    <t>Kidney</t>
  </si>
  <si>
    <t>64033007</t>
  </si>
  <si>
    <t>UBERON:0002113</t>
  </si>
  <si>
    <t>Thyroid gland</t>
  </si>
  <si>
    <t>69748006</t>
  </si>
  <si>
    <t>UBERON:0002046</t>
  </si>
  <si>
    <t>parathyroid</t>
  </si>
  <si>
    <t>Parathyroid gland</t>
  </si>
  <si>
    <t>111002</t>
  </si>
  <si>
    <t>UBERON:0001132</t>
  </si>
  <si>
    <t>pituitary</t>
  </si>
  <si>
    <t>Pituitary gland</t>
  </si>
  <si>
    <t>56329008</t>
  </si>
  <si>
    <t>UBERON:0000007</t>
  </si>
  <si>
    <t>Adrenal gland</t>
  </si>
  <si>
    <t>23451007</t>
  </si>
  <si>
    <t>UBERON:0002369</t>
  </si>
  <si>
    <t>pancreas_endocrine</t>
  </si>
  <si>
    <t>Pancreas, endocrine</t>
  </si>
  <si>
    <t>15776009</t>
  </si>
  <si>
    <t>UBERON:0000016</t>
  </si>
  <si>
    <t>Intestinal tract</t>
  </si>
  <si>
    <t>113276009</t>
  </si>
  <si>
    <t>UBERON:0000160</t>
  </si>
  <si>
    <t>41216001</t>
  </si>
  <si>
    <t>UBERON:0002367</t>
  </si>
  <si>
    <t>Gonads</t>
  </si>
  <si>
    <t>18620006</t>
  </si>
  <si>
    <t>UBERON:0000991</t>
  </si>
  <si>
    <t>272673000</t>
  </si>
  <si>
    <t>UBERON:0001474</t>
  </si>
  <si>
    <t>Bone marrow and blood</t>
  </si>
  <si>
    <t>14016003</t>
  </si>
  <si>
    <t>UBERON:0002371</t>
  </si>
  <si>
    <t>Skeletal muscle</t>
  </si>
  <si>
    <t>127954009</t>
  </si>
  <si>
    <t>UBERON:0001134</t>
  </si>
  <si>
    <t>heart</t>
  </si>
  <si>
    <t>Heart</t>
  </si>
  <si>
    <t>80891009</t>
  </si>
  <si>
    <t>UBERON:0000948</t>
  </si>
  <si>
    <t>vasculature</t>
  </si>
  <si>
    <t>Vasculature</t>
  </si>
  <si>
    <t>59820001</t>
  </si>
  <si>
    <t>UBERON:0007798</t>
  </si>
  <si>
    <t>brain</t>
  </si>
  <si>
    <t>Brain</t>
  </si>
  <si>
    <t>12738006</t>
  </si>
  <si>
    <t>UBERON:0000955</t>
  </si>
  <si>
    <t>system</t>
  </si>
  <si>
    <t>Systemic inflammation</t>
  </si>
  <si>
    <t>n/a (system region)</t>
  </si>
  <si>
    <t>Immune function</t>
  </si>
  <si>
    <t>Micronutrient status</t>
  </si>
  <si>
    <t>Electrolyte and water balance</t>
  </si>
  <si>
    <t>Glycemic regulation</t>
  </si>
  <si>
    <t>lipid_transport</t>
  </si>
  <si>
    <t>Lipid transport</t>
  </si>
  <si>
    <t>body_composition</t>
  </si>
  <si>
    <t>Body composition</t>
  </si>
  <si>
    <t>sleep_recovery</t>
  </si>
  <si>
    <t>Sleep and autonomic recovery</t>
  </si>
  <si>
    <t>The enum is CLOSED. Adding a region is a contract change and needs an ADR, because the XR layer must have a mesh or an affordance for every value.</t>
  </si>
  <si>
    <t>SNOMED and UBERON codes below are PROPOSED and every one is UNVERIFIED. None may enter the repo until a named human has signed a review record. Do not treat this sheet as a source of codes.</t>
  </si>
  <si>
    <t>Five regions currently carry no Anchor marker: pancreas_endocrine, heart, brain, body_composition and sleep_recovery. pancreas_endocrine is empty because the core set holds no insulin or C-peptide; the others are Dynamic-layer placeholders. All five must render as "no data", never as healthy.</t>
  </si>
  <si>
    <t>organ_mapping_token</t>
  </si>
  <si>
    <t>markers_using_token</t>
  </si>
  <si>
    <t>proposed_region_ids</t>
  </si>
  <si>
    <t>verdict</t>
  </si>
  <si>
    <t>KEEP: one to one</t>
  </si>
  <si>
    <t>Cardiometabolic</t>
  </si>
  <si>
    <t>lipid_transport|vasculature</t>
  </si>
  <si>
    <t>SPLIT: risk concept, maps to more than one region</t>
  </si>
  <si>
    <t>Electrolyte Balance</t>
  </si>
  <si>
    <t>Endocrine</t>
  </si>
  <si>
    <t>RETIRE: carries no locational information</t>
  </si>
  <si>
    <t>RETIRE: names a pathway, not a location. Resolved per marker.</t>
  </si>
  <si>
    <t>Micronutrient</t>
  </si>
  <si>
    <t>Mineral Metabolism</t>
  </si>
  <si>
    <t>Neuromuscular</t>
  </si>
  <si>
    <t>Nutritional</t>
  </si>
  <si>
    <t>Pancreatic</t>
  </si>
  <si>
    <t>Parathyroid</t>
  </si>
  <si>
    <t>Pituitary</t>
  </si>
  <si>
    <t>Reproductive</t>
  </si>
  <si>
    <t>Thyroid Axis</t>
  </si>
  <si>
    <t>thyroid|pituitary</t>
  </si>
  <si>
    <t>interval_id</t>
  </si>
  <si>
    <t>in_core_set</t>
  </si>
  <si>
    <t>record_kind</t>
  </si>
  <si>
    <t>population</t>
  </si>
  <si>
    <t>low</t>
  </si>
  <si>
    <t>high</t>
  </si>
  <si>
    <t>unit</t>
  </si>
  <si>
    <t>reference_range_text</t>
  </si>
  <si>
    <t>issuer</t>
  </si>
  <si>
    <t>issuer_kind</t>
  </si>
  <si>
    <t>assay_or_catalogue</t>
  </si>
  <si>
    <t>source_url</t>
  </si>
  <si>
    <t>retrieved_at</t>
  </si>
  <si>
    <t>source</t>
  </si>
  <si>
    <t>parse_status</t>
  </si>
  <si>
    <t>RI-001</t>
  </si>
  <si>
    <t>reference_interval</t>
  </si>
  <si>
    <t>male</t>
  </si>
  <si>
    <t>m 40-161 · w Follikelphase 77-921 · Zyklusmitte 139-2382 · Lutealphase 77-1145 · Postmenopause &lt; 103</t>
  </si>
  <si>
    <t>IMD Labor Berlin-Potsdam</t>
  </si>
  <si>
    <t>LAB</t>
  </si>
  <si>
    <t>Referenzbereiche Standort Potsdam, Stand 28.09.2015</t>
  </si>
  <si>
    <t>https://www.imd-berlin.de/fileadmin/user_upload/leistungsverzeichnis_druck/09a_Referenzbereiche_Standort_Potsdam.pdf</t>
  </si>
  <si>
    <t>2026-07-12</t>
  </si>
  <si>
    <t>IMD-POT-2015</t>
  </si>
  <si>
    <t>structured</t>
  </si>
  <si>
    <t>RI-002</t>
  </si>
  <si>
    <t>female_Follikelphase</t>
  </si>
  <si>
    <t>RI-003</t>
  </si>
  <si>
    <t>BM-002</t>
  </si>
  <si>
    <t>8-OHdG Urin</t>
  </si>
  <si>
    <t>general_adult</t>
  </si>
  <si>
    <t>µmol/mol Krea</t>
  </si>
  <si>
    <t>umol/mol</t>
  </si>
  <si>
    <t>0,1-2,4</t>
  </si>
  <si>
    <t>IMD Berlin</t>
  </si>
  <si>
    <t>Leistungsverzeichnis, Stand 12.02.2025</t>
  </si>
  <si>
    <t>https://www.imd-berlin.de/fileadmin/user_upload/leistungsverzeichnis_druck/imd_leistungsverzeichnis_2025-03-06.pdf</t>
  </si>
  <si>
    <t>IMD-LV-2025</t>
  </si>
  <si>
    <t>RI-004</t>
  </si>
  <si>
    <t>BM-004</t>
  </si>
  <si>
    <t>ADMA</t>
  </si>
  <si>
    <t>50-110</t>
  </si>
  <si>
    <t>RI-005</t>
  </si>
  <si>
    <t>BM-005</t>
  </si>
  <si>
    <t>AGE</t>
  </si>
  <si>
    <t>µg/ml</t>
  </si>
  <si>
    <t>ug/mL</t>
  </si>
  <si>
    <t>&lt; 67</t>
  </si>
  <si>
    <t>RI-006</t>
  </si>
  <si>
    <t>BM-007</t>
  </si>
  <si>
    <t>Alkalische Phosphatase (AP)</t>
  </si>
  <si>
    <t>age_&gt;20J</t>
  </si>
  <si>
    <t>&gt; 20 J: 40-150 (m und w)</t>
  </si>
  <si>
    <t>RI-007</t>
  </si>
  <si>
    <t>BM-012</t>
  </si>
  <si>
    <t>Androstendion</t>
  </si>
  <si>
    <t>age_&gt;21J_female_vor Menopause</t>
  </si>
  <si>
    <t>&gt; 21 J: w vor Menopause 0,40-3,40 · w nach Menopause &lt; 2,11 · m 0,50-3,50</t>
  </si>
  <si>
    <t>RI-008</t>
  </si>
  <si>
    <t>female_nach Menopause</t>
  </si>
  <si>
    <t>RI-009</t>
  </si>
  <si>
    <t>RI-010</t>
  </si>
  <si>
    <t>BM-018</t>
  </si>
  <si>
    <t>APC-Resistenz</t>
  </si>
  <si>
    <t>Ratio</t>
  </si>
  <si>
    <t>1</t>
  </si>
  <si>
    <t>&gt; 2,2</t>
  </si>
  <si>
    <t>RI-011</t>
  </si>
  <si>
    <t>BM-019</t>
  </si>
  <si>
    <t>Apolipoprotein B</t>
  </si>
  <si>
    <t>age_&gt;18J</t>
  </si>
  <si>
    <t>&gt; 18 J: &gt; 1,0 (wie im Katalog angegeben)</t>
  </si>
  <si>
    <t>RI-012</t>
  </si>
  <si>
    <t>BM-026</t>
  </si>
  <si>
    <t>ATP intrazellulär</t>
  </si>
  <si>
    <t>µM</t>
  </si>
  <si>
    <t>&gt; 2,5</t>
  </si>
  <si>
    <t>RI-013</t>
  </si>
  <si>
    <t>BM-052</t>
  </si>
  <si>
    <t>BDNF (Brain-Derived Neurotrophic Factor)</t>
  </si>
  <si>
    <t>18,3-31,4</t>
  </si>
  <si>
    <t>RI-014</t>
  </si>
  <si>
    <t>BM-055</t>
  </si>
  <si>
    <t>Beta-Defensin 2 Stuhl</t>
  </si>
  <si>
    <t>ng/g</t>
  </si>
  <si>
    <t>8-60</t>
  </si>
  <si>
    <t>RI-015</t>
  </si>
  <si>
    <t>BM-056</t>
  </si>
  <si>
    <t>Bilirubin</t>
  </si>
  <si>
    <t>&gt; 18 J: 0,20-1,20</t>
  </si>
  <si>
    <t>RI-016</t>
  </si>
  <si>
    <t>BM-059</t>
  </si>
  <si>
    <t>Blei</t>
  </si>
  <si>
    <t>&lt; 28</t>
  </si>
  <si>
    <t>RI-017</t>
  </si>
  <si>
    <t>37,4-101</t>
  </si>
  <si>
    <t>RI-018</t>
  </si>
  <si>
    <t>BM-062</t>
  </si>
  <si>
    <t>Cadmium</t>
  </si>
  <si>
    <t>&lt; 0,6</t>
  </si>
  <si>
    <t>RI-019</t>
  </si>
  <si>
    <t>age_12-60J</t>
  </si>
  <si>
    <t>12-60 J: 2,20-2,60 · m &gt; 60 J: 2,20-2,55</t>
  </si>
  <si>
    <t>RI-020</t>
  </si>
  <si>
    <t>&lt; 50</t>
  </si>
  <si>
    <t>RI-021</t>
  </si>
  <si>
    <t>BM-068</t>
  </si>
  <si>
    <t>Carnitin</t>
  </si>
  <si>
    <t>age_&gt;1J_female</t>
  </si>
  <si>
    <t>&gt; 1 J: w 17,9-45,5 · m 24,6-51,0</t>
  </si>
  <si>
    <t>RI-022</t>
  </si>
  <si>
    <t>RI-023</t>
  </si>
  <si>
    <t>BM-069</t>
  </si>
  <si>
    <t>CD57+ NK-Zellen</t>
  </si>
  <si>
    <t>/µl</t>
  </si>
  <si>
    <t>/uL</t>
  </si>
  <si>
    <t>60-360</t>
  </si>
  <si>
    <t>RI-024</t>
  </si>
  <si>
    <t>BM-070</t>
  </si>
  <si>
    <t>CDT (Alkoholmarker)</t>
  </si>
  <si>
    <t>&lt; 1,75</t>
  </si>
  <si>
    <t>RI-025</t>
  </si>
  <si>
    <t>BM-071</t>
  </si>
  <si>
    <t>Chlorid</t>
  </si>
  <si>
    <t>age_1mo_90J</t>
  </si>
  <si>
    <t>1 Monat-90 J: 98-107</t>
  </si>
  <si>
    <t>RI-026</t>
  </si>
  <si>
    <t>&gt; 18 J: &lt; 190</t>
  </si>
  <si>
    <t>RI-027</t>
  </si>
  <si>
    <t>BM-073</t>
  </si>
  <si>
    <t>Chrom</t>
  </si>
  <si>
    <t>0,14-0,52</t>
  </si>
  <si>
    <t>RI-028</t>
  </si>
  <si>
    <t>BM-076</t>
  </si>
  <si>
    <t>Coenzym Q10</t>
  </si>
  <si>
    <t>&gt; 0,60</t>
  </si>
  <si>
    <t>RI-029</t>
  </si>
  <si>
    <t>time_vor_10h</t>
  </si>
  <si>
    <t>vor 10 Uhr 37-194 · nach 17 Uhr 29-173</t>
  </si>
  <si>
    <t>RI-030</t>
  </si>
  <si>
    <t>time_nach_17h</t>
  </si>
  <si>
    <t>RI-031</t>
  </si>
  <si>
    <t>&lt; 5</t>
  </si>
  <si>
    <t>RI-032</t>
  </si>
  <si>
    <t>BM-081</t>
  </si>
  <si>
    <t>Cystatin C</t>
  </si>
  <si>
    <t>age_19-49J_male</t>
  </si>
  <si>
    <t>19-49 J: m 0,5-0,9 · w 0,53-0,92 · &gt; 49 J: m 0,6-1,0 · w 0,58-1,02</t>
  </si>
  <si>
    <t>RI-033</t>
  </si>
  <si>
    <t>female</t>
  </si>
  <si>
    <t>RI-034</t>
  </si>
  <si>
    <t>age_&gt;49J_male</t>
  </si>
  <si>
    <t>RI-035</t>
  </si>
  <si>
    <t>RI-036</t>
  </si>
  <si>
    <t>age_24-34J_male</t>
  </si>
  <si>
    <t>24-34 J: m 1600-4490 · w 988-3400 · 34-44 J: m 889-4720 · w 609-3370 (altersgestaffelt)</t>
  </si>
  <si>
    <t>RI-037</t>
  </si>
  <si>
    <t>RI-038</t>
  </si>
  <si>
    <t>age_34-44J_male</t>
  </si>
  <si>
    <t>RI-039</t>
  </si>
  <si>
    <t>BM-090</t>
  </si>
  <si>
    <t>ECP</t>
  </si>
  <si>
    <t>&lt; 13,3</t>
  </si>
  <si>
    <t>RI-040</t>
  </si>
  <si>
    <t>BM-092</t>
  </si>
  <si>
    <t>Eisen</t>
  </si>
  <si>
    <t>age_&gt;18J_male</t>
  </si>
  <si>
    <t>&gt; 18 J: m 11,6-31,3 · w 9,0-30,4</t>
  </si>
  <si>
    <t>RI-041</t>
  </si>
  <si>
    <t>RI-042</t>
  </si>
  <si>
    <t>BM-101</t>
  </si>
  <si>
    <t>EPX-Stuhl</t>
  </si>
  <si>
    <t>&lt; 1358</t>
  </si>
  <si>
    <t>RI-043</t>
  </si>
  <si>
    <t>BM-104</t>
  </si>
  <si>
    <t>Ethylglucuronid (EtG)</t>
  </si>
  <si>
    <t>&lt; 0,1</t>
  </si>
  <si>
    <t>RI-044</t>
  </si>
  <si>
    <t>&gt; 18 J: m 21,8-275 · w 4,63-204</t>
  </si>
  <si>
    <t>RI-045</t>
  </si>
  <si>
    <t>RI-046</t>
  </si>
  <si>
    <t>&gt; 3,0</t>
  </si>
  <si>
    <t>RI-047</t>
  </si>
  <si>
    <t>BM-112</t>
  </si>
  <si>
    <t>Freier Androgenindex</t>
  </si>
  <si>
    <t>male_age_21-50J</t>
  </si>
  <si>
    <t>UNMAPPED</t>
  </si>
  <si>
    <t>m 21-50 J: 24,5-113,3 · m &gt; 50 J: 19,3-118,4 · w praemenopausal 0,7-8,7 · w postmenopausal 0,5-4,7</t>
  </si>
  <si>
    <t>RI-048</t>
  </si>
  <si>
    <t>female_praemenopausal</t>
  </si>
  <si>
    <t>RI-049</t>
  </si>
  <si>
    <t>female_postmenopausal</t>
  </si>
  <si>
    <t>RI-050</t>
  </si>
  <si>
    <t>BM-113</t>
  </si>
  <si>
    <t>Freies Spike Protein</t>
  </si>
  <si>
    <t>&lt; 4,5</t>
  </si>
  <si>
    <t>RI-051</t>
  </si>
  <si>
    <t>age_&gt;19J</t>
  </si>
  <si>
    <t>&gt; 19 J: 1,58-3,91</t>
  </si>
  <si>
    <t>RI-052</t>
  </si>
  <si>
    <t>&gt; 19 J: 7,00-14,8</t>
  </si>
  <si>
    <t>RI-053</t>
  </si>
  <si>
    <t>BM-117</t>
  </si>
  <si>
    <t>Freies Vitamin D</t>
  </si>
  <si>
    <t>8,49-28,3</t>
  </si>
  <si>
    <t>RI-054</t>
  </si>
  <si>
    <t>m 0,95-11,95 · w Follikelphase 3,03-8,08 · Zyklusmitte 2,55-16,69 · Lutealphase 1,38-5,47 · Postmenopause 26,7-133,4</t>
  </si>
  <si>
    <t>RI-055</t>
  </si>
  <si>
    <t>RI-056</t>
  </si>
  <si>
    <t>BM-122</t>
  </si>
  <si>
    <t>Gallensäure-Stuhl</t>
  </si>
  <si>
    <t>µmol/g</t>
  </si>
  <si>
    <t>0,84-6,55</t>
  </si>
  <si>
    <t>RI-057</t>
  </si>
  <si>
    <t>&gt; 18 J: m 11-59 · w 8-33</t>
  </si>
  <si>
    <t>RI-058</t>
  </si>
  <si>
    <t>RI-059</t>
  </si>
  <si>
    <t>BM-124</t>
  </si>
  <si>
    <t>GDF15</t>
  </si>
  <si>
    <t>&lt; 518,8</t>
  </si>
  <si>
    <t>RI-060</t>
  </si>
  <si>
    <t>age_18-60J</t>
  </si>
  <si>
    <t>18-60 J: 64,0-83,0 · &gt; 60 J: 62,0-81,0</t>
  </si>
  <si>
    <t>RI-061</t>
  </si>
  <si>
    <t>age_&gt;60J</t>
  </si>
  <si>
    <t>RI-062</t>
  </si>
  <si>
    <t>fasting_adult</t>
  </si>
  <si>
    <t>nuechtern &lt; 100</t>
  </si>
  <si>
    <t>RI-063</t>
  </si>
  <si>
    <t>BM-129</t>
  </si>
  <si>
    <t>Glutathion intrazellulär</t>
  </si>
  <si>
    <t>male_onozyten</t>
  </si>
  <si>
    <t>mfi</t>
  </si>
  <si>
    <t>{MFI}</t>
  </si>
  <si>
    <t>Lymphozyten &gt; 21600 · Monozyten &gt; 66600 · NK-Zellen &gt; 30500</t>
  </si>
  <si>
    <t>RI-064</t>
  </si>
  <si>
    <t>&gt; 18 J: m &lt; 50 · w &lt; 35</t>
  </si>
  <si>
    <t>RI-065</t>
  </si>
  <si>
    <t>RI-066</t>
  </si>
  <si>
    <t>&gt; 18 J: m 3,6-8,2 · w 2,3-6,1</t>
  </si>
  <si>
    <t>RI-067</t>
  </si>
  <si>
    <t>RI-068</t>
  </si>
  <si>
    <t>BM-137</t>
  </si>
  <si>
    <t>Harnstoff</t>
  </si>
  <si>
    <t>age_18-50J_male</t>
  </si>
  <si>
    <t>18-50 J: m 19,0-44,1 · w 15,0-40,0</t>
  </si>
  <si>
    <t>RI-069</t>
  </si>
  <si>
    <t>RI-070</t>
  </si>
  <si>
    <t>&lt; 5,7 (&lt; 39 mmol/mol)</t>
  </si>
  <si>
    <t>RI-071</t>
  </si>
  <si>
    <t>age_&gt;18J_female</t>
  </si>
  <si>
    <t>&gt; 18 J: w &gt; 45 · m &gt; 40</t>
  </si>
  <si>
    <t>RI-072</t>
  </si>
  <si>
    <t>RI-073</t>
  </si>
  <si>
    <t>BM-148</t>
  </si>
  <si>
    <t>Histamin</t>
  </si>
  <si>
    <t>&lt; 65,5</t>
  </si>
  <si>
    <t>RI-074</t>
  </si>
  <si>
    <t>BM-149</t>
  </si>
  <si>
    <t>Histamin Stuhl</t>
  </si>
  <si>
    <t>&lt; 600</t>
  </si>
  <si>
    <t>RI-075</t>
  </si>
  <si>
    <t>3,6-5,5</t>
  </si>
  <si>
    <t>RI-076</t>
  </si>
  <si>
    <t>BM-184</t>
  </si>
  <si>
    <t>Komplement CH50 / AP50</t>
  </si>
  <si>
    <t>69-129</t>
  </si>
  <si>
    <t>RI-077</t>
  </si>
  <si>
    <t>INTERPRETIVE_BAND_not_a_reference_interval</t>
  </si>
  <si>
    <t>interpretive_optimal</t>
  </si>
  <si>
    <t>optimal &lt; 100 · gut 100-129 · grenzwertig 130-159 · erhoeht 160-189 · pathologisch &gt; 190</t>
  </si>
  <si>
    <t>RI-078</t>
  </si>
  <si>
    <t>interpretive_gut</t>
  </si>
  <si>
    <t>RI-079</t>
  </si>
  <si>
    <t>interpretive_grenzwertig</t>
  </si>
  <si>
    <t>RI-080</t>
  </si>
  <si>
    <t>interpretive_erhoeht</t>
  </si>
  <si>
    <t>RI-081</t>
  </si>
  <si>
    <t>interpretive_pathologisch</t>
  </si>
  <si>
    <t>RI-082</t>
  </si>
  <si>
    <t>m 1,14-8,75 · w Follikelphase 2,39-6,60 · Zyklusmitte 9,06-74,24 · Lutealphase 0,90-9,33 · Postmenopause 10,39-64,57</t>
  </si>
  <si>
    <t>RI-083</t>
  </si>
  <si>
    <t>RI-084</t>
  </si>
  <si>
    <t>0,75-1,10</t>
  </si>
  <si>
    <t>RI-085</t>
  </si>
  <si>
    <t>135-145</t>
  </si>
  <si>
    <t>RI-086</t>
  </si>
  <si>
    <t>BM-295</t>
  </si>
  <si>
    <t>Östriol-Speichel</t>
  </si>
  <si>
    <t>male_age_18-76J</t>
  </si>
  <si>
    <t>m 18-76 J: 1,8-10,4 · w 15-54 J: 2,1-13,3 · w 55-81 J: 2,5-17,0</t>
  </si>
  <si>
    <t>RI-087</t>
  </si>
  <si>
    <t>female_age_15-54J</t>
  </si>
  <si>
    <t>RI-088</t>
  </si>
  <si>
    <t>female_age_55-81J</t>
  </si>
  <si>
    <t>RI-089</t>
  </si>
  <si>
    <t>BM-297</t>
  </si>
  <si>
    <t>Pankreaselastase-Stuhl</t>
  </si>
  <si>
    <t>&gt; 200</t>
  </si>
  <si>
    <t>RI-090</t>
  </si>
  <si>
    <t>BM-303</t>
  </si>
  <si>
    <t>Phosphat</t>
  </si>
  <si>
    <t>&gt; 18 J: 0,74-1,52</t>
  </si>
  <si>
    <t>RI-091</t>
  </si>
  <si>
    <t>w Follikelphase &lt; 0,96 · Zyklusmitte 0,0-70,1 · Lutealphase 3,8-50,6 · Postmenopause &lt; 0,64</t>
  </si>
  <si>
    <t>RI-092</t>
  </si>
  <si>
    <t>m 3,46-19,4 · w 5,18-26,53</t>
  </si>
  <si>
    <t>RI-093</t>
  </si>
  <si>
    <t>RI-094</t>
  </si>
  <si>
    <t>m 7,09-32,9 · w 0,94-4,75</t>
  </si>
  <si>
    <t>RI-095</t>
  </si>
  <si>
    <t>RI-096</t>
  </si>
  <si>
    <t>44-150</t>
  </si>
  <si>
    <t>RI-097</t>
  </si>
  <si>
    <t>0,35-4,94 (Graubereich 2,5-4,94)</t>
  </si>
  <si>
    <t>RI-098</t>
  </si>
  <si>
    <t>&gt; 18 J: 187-883</t>
  </si>
  <si>
    <t>ARCHITECTURAL NOTE (SAD v2.0, section 7 and invariant 3): a reference interval is NOT a property of a biomarker. It is a property of a specific assay on a specific instrument at a specific laboratory.</t>
  </si>
  <si>
    <t>Many intervals may exist for one biomarker and they may contradict each other. That is the finding, not a bug. IMD publishes HbA1c as &lt; 5,7 % (2025) and 4,7-6,2 % (2015). Same lab, both correct, different questions.</t>
  </si>
  <si>
    <t>An Observation therefore points at the interval it was actually measured against, or at null. Where it is null the model abstains. Rows here are candidate intervals, not canonical ones.</t>
  </si>
  <si>
    <t>record_kind = INTERPRETIVE_BAND flags rows that are already an interpretation (optimal, gut, grenzwertig, erhoeht, pathologisch). Do not load these into the same field as measured intervals.</t>
  </si>
  <si>
    <t>Note carried from the source sheet: NOTE: Structured low/high filled where published string is a clear numeric bound; sex/age/phase/time strata are separate rows.</t>
  </si>
  <si>
    <t>unit_canonical</t>
  </si>
  <si>
    <t>loinc_url</t>
  </si>
  <si>
    <t>review_record_status</t>
  </si>
  <si>
    <t>review_record_path</t>
  </si>
  <si>
    <t>https://loinc.org/14715-7</t>
  </si>
  <si>
    <t>docs/terminology/review-records/14715-7.md</t>
  </si>
  <si>
    <t>https://loinc.org/83104-0</t>
  </si>
  <si>
    <t>docs/terminology/review-records/83104-0.md</t>
  </si>
  <si>
    <t>https://loinc.org/1980-2</t>
  </si>
  <si>
    <t>docs/terminology/review-records/1980-2.md</t>
  </si>
  <si>
    <t>https://loinc.org/52914-9</t>
  </si>
  <si>
    <t>docs/terminology/review-records/52914-9.md</t>
  </si>
  <si>
    <t>https://loinc.org/2000-8</t>
  </si>
  <si>
    <t>docs/terminology/review-records/2000-8.md</t>
  </si>
  <si>
    <t>https://loinc.org/38445-3</t>
  </si>
  <si>
    <t>docs/terminology/review-records/38445-3.md</t>
  </si>
  <si>
    <t>https://loinc.org/2093-3</t>
  </si>
  <si>
    <t>docs/terminology/review-records/2093-3.md</t>
  </si>
  <si>
    <t>https://loinc.org/2143-6</t>
  </si>
  <si>
    <t>docs/terminology/review-records/2143-6.md</t>
  </si>
  <si>
    <t>https://loinc.org/2157-6</t>
  </si>
  <si>
    <t>docs/terminology/review-records/2157-6.md</t>
  </si>
  <si>
    <t>https://loinc.org/30522-7</t>
  </si>
  <si>
    <t>docs/terminology/review-records/30522-7.md</t>
  </si>
  <si>
    <t>https://loinc.org/2191-5</t>
  </si>
  <si>
    <t>docs/terminology/review-records/2191-5.md</t>
  </si>
  <si>
    <t>https://loinc.org/2276-4</t>
  </si>
  <si>
    <t>docs/terminology/review-records/2276-4.md</t>
  </si>
  <si>
    <t>https://loinc.org/2284-8</t>
  </si>
  <si>
    <t>docs/terminology/review-records/2284-8.md</t>
  </si>
  <si>
    <t>https://loinc.org/3051-0</t>
  </si>
  <si>
    <t>docs/terminology/review-records/3051-0.md</t>
  </si>
  <si>
    <t>https://loinc.org/3024-7</t>
  </si>
  <si>
    <t>docs/terminology/review-records/3024-7.md</t>
  </si>
  <si>
    <t>https://loinc.org/15067-2</t>
  </si>
  <si>
    <t>docs/terminology/review-records/15067-2.md</t>
  </si>
  <si>
    <t>https://loinc.org/2324-2</t>
  </si>
  <si>
    <t>docs/terminology/review-records/2324-2.md</t>
  </si>
  <si>
    <t>https://loinc.org/2885-2</t>
  </si>
  <si>
    <t>docs/terminology/review-records/2885-2.md</t>
  </si>
  <si>
    <t>https://loinc.org/1558-6</t>
  </si>
  <si>
    <t>docs/terminology/review-records/1558-6.md</t>
  </si>
  <si>
    <t>https://loinc.org/1920-8</t>
  </si>
  <si>
    <t>docs/terminology/review-records/1920-8.md</t>
  </si>
  <si>
    <t>https://loinc.org/1742-6</t>
  </si>
  <si>
    <t>docs/terminology/review-records/1742-6.md</t>
  </si>
  <si>
    <t>https://loinc.org/3084-1</t>
  </si>
  <si>
    <t>docs/terminology/review-records/3084-1.md</t>
  </si>
  <si>
    <t>https://loinc.org/4548-4</t>
  </si>
  <si>
    <t>docs/terminology/review-records/4548-4.md</t>
  </si>
  <si>
    <t>https://loinc.org/2085-9</t>
  </si>
  <si>
    <t>docs/terminology/review-records/2085-9.md</t>
  </si>
  <si>
    <t>https://loinc.org/72160-5</t>
  </si>
  <si>
    <t>docs/terminology/review-records/72160-5.md</t>
  </si>
  <si>
    <t>https://loinc.org/13965-9</t>
  </si>
  <si>
    <t>docs/terminology/review-records/13965-9.md</t>
  </si>
  <si>
    <t>https://loinc.org/2494-3</t>
  </si>
  <si>
    <t>docs/terminology/review-records/2494-3.md</t>
  </si>
  <si>
    <t>https://loinc.org/2823-3</t>
  </si>
  <si>
    <t>docs/terminology/review-records/2823-3.md</t>
  </si>
  <si>
    <t>https://loinc.org/14665-4</t>
  </si>
  <si>
    <t>docs/terminology/review-records/14665-4.md</t>
  </si>
  <si>
    <t>https://loinc.org/2089-1</t>
  </si>
  <si>
    <t>docs/terminology/review-records/2089-1.md</t>
  </si>
  <si>
    <t>https://loinc.org/10501-5</t>
  </si>
  <si>
    <t>docs/terminology/review-records/10501-5.md</t>
  </si>
  <si>
    <t>https://loinc.org/10835-7</t>
  </si>
  <si>
    <t>docs/terminology/review-records/10835-7.md</t>
  </si>
  <si>
    <t>https://loinc.org/2601-3</t>
  </si>
  <si>
    <t>docs/terminology/review-records/2601-3.md</t>
  </si>
  <si>
    <t>https://loinc.org/2951-2</t>
  </si>
  <si>
    <t>docs/terminology/review-records/2951-2.md</t>
  </si>
  <si>
    <t>https://loinc.org/2731-8</t>
  </si>
  <si>
    <t>docs/terminology/review-records/2731-8.md</t>
  </si>
  <si>
    <t>https://loinc.org/14890-8</t>
  </si>
  <si>
    <t>docs/terminology/review-records/14890-8.md</t>
  </si>
  <si>
    <t>https://loinc.org/2842-3</t>
  </si>
  <si>
    <t>docs/terminology/review-records/2842-3.md</t>
  </si>
  <si>
    <t>https://loinc.org/2857-1</t>
  </si>
  <si>
    <t>docs/terminology/review-records/2857-1.md</t>
  </si>
  <si>
    <t>https://loinc.org/5724-0</t>
  </si>
  <si>
    <t>docs/terminology/review-records/5724-0.md</t>
  </si>
  <si>
    <t>https://loinc.org/13967-5</t>
  </si>
  <si>
    <t>docs/terminology/review-records/13967-5.md</t>
  </si>
  <si>
    <t>https://loinc.org/14913-8</t>
  </si>
  <si>
    <t>docs/terminology/review-records/14913-8.md</t>
  </si>
  <si>
    <t>https://loinc.org/2571-8</t>
  </si>
  <si>
    <t>docs/terminology/review-records/2571-8.md</t>
  </si>
  <si>
    <t>https://loinc.org/3016-3</t>
  </si>
  <si>
    <t>docs/terminology/review-records/3016-3.md</t>
  </si>
  <si>
    <t>https://loinc.org/2923-1</t>
  </si>
  <si>
    <t>docs/terminology/review-records/2923-1.md</t>
  </si>
  <si>
    <t>https://loinc.org/2998-3</t>
  </si>
  <si>
    <t>docs/terminology/review-records/2998-3.md</t>
  </si>
  <si>
    <t>https://loinc.org/2132-9</t>
  </si>
  <si>
    <t>docs/terminology/review-records/2132-9.md</t>
  </si>
  <si>
    <t>https://loinc.org/2924-9</t>
  </si>
  <si>
    <t>docs/terminology/review-records/2924-9.md</t>
  </si>
  <si>
    <t>https://loinc.org/2722-7</t>
  </si>
  <si>
    <t>docs/terminology/review-records/2722-7.md</t>
  </si>
  <si>
    <t>https://loinc.org/30552-4</t>
  </si>
  <si>
    <t>docs/terminology/review-records/30552-4.md</t>
  </si>
  <si>
    <t>https://loinc.org/1989-3</t>
  </si>
  <si>
    <t>docs/terminology/review-records/1989-3.md</t>
  </si>
  <si>
    <t>https://loinc.org/1823-4</t>
  </si>
  <si>
    <t>docs/terminology/review-records/1823-4.md</t>
  </si>
  <si>
    <t>https://loinc.org/58793-1</t>
  </si>
  <si>
    <t>docs/terminology/review-records/58793-1.md</t>
  </si>
  <si>
    <t>https://loinc.org/5763-8</t>
  </si>
  <si>
    <t>docs/terminology/review-records/5763-8.md</t>
  </si>
  <si>
    <t>https://loinc.org/718-7</t>
  </si>
  <si>
    <t>docs/terminology/review-records/718-7.md</t>
  </si>
  <si>
    <t>https://loinc.org/4544-3</t>
  </si>
  <si>
    <t>docs/terminology/review-records/4544-3.md</t>
  </si>
  <si>
    <t>https://loinc.org/789-8</t>
  </si>
  <si>
    <t>docs/terminology/review-records/789-8.md</t>
  </si>
  <si>
    <t>https://loinc.org/6690-2</t>
  </si>
  <si>
    <t>docs/terminology/review-records/6690-2.md</t>
  </si>
  <si>
    <t>https://loinc.org/777-3</t>
  </si>
  <si>
    <t>docs/terminology/review-records/777-3.md</t>
  </si>
  <si>
    <t>https://loinc.org/787-2</t>
  </si>
  <si>
    <t>docs/terminology/review-records/787-2.md</t>
  </si>
  <si>
    <t>https://loinc.org/785-6</t>
  </si>
  <si>
    <t>docs/terminology/review-records/785-6.md</t>
  </si>
  <si>
    <t>https://loinc.org/786-4</t>
  </si>
  <si>
    <t>docs/terminology/review-records/786-4.md</t>
  </si>
  <si>
    <t>https://loinc.org/2458-8</t>
  </si>
  <si>
    <t>docs/terminology/review-records/2458-8.md</t>
  </si>
  <si>
    <t>https://loinc.org/2465-3</t>
  </si>
  <si>
    <t>docs/terminology/review-records/2465-3.md</t>
  </si>
  <si>
    <t>https://loinc.org/2472-9</t>
  </si>
  <si>
    <t>docs/terminology/review-records/2472-9.md</t>
  </si>
  <si>
    <t>https://loinc.org/41171-0</t>
  </si>
  <si>
    <t>docs/terminology/review-records/41171-0.md</t>
  </si>
  <si>
    <t>https://loinc.org/25095-1</t>
  </si>
  <si>
    <t>docs/terminology/review-records/25095-1.md</t>
  </si>
  <si>
    <t>https://loinc.org/2160-0</t>
  </si>
  <si>
    <t>docs/terminology/review-records/2160-0.md</t>
  </si>
  <si>
    <t>docs/terminology/review-records/nan.md</t>
  </si>
  <si>
    <t>VALIDATION COMPLETE: All Anchor core-set LOINC codes verified on loinc.org. Non-core biomarkers are out_of_scope for LOINC in this deliverable.</t>
  </si>
  <si>
    <t>Every code here is UNVERIFIED. Per the project rule, a code enters the repo only through a signed review record naming the reviewer, the source URL and the retrieval date. An AI check does not count.</t>
  </si>
  <si>
    <t>finding_id</t>
  </si>
  <si>
    <t>area</t>
  </si>
  <si>
    <t>severity</t>
  </si>
  <si>
    <t>description</t>
  </si>
  <si>
    <t>proposed_resolution</t>
  </si>
  <si>
    <t>owner</t>
  </si>
  <si>
    <t>status</t>
  </si>
  <si>
    <t>F-01</t>
  </si>
  <si>
    <t>Terminology</t>
  </si>
  <si>
    <t>BM-060 Bor sits on LOINC 52914-9 Boron [Moles/volume] but the unit is ug/L (mass).</t>
  </si>
  <si>
    <t>Re-code to a mass-property LOINC, or convert at ingestion. Recommend re-code.</t>
  </si>
  <si>
    <t>Martin / clinical reviewer</t>
  </si>
  <si>
    <t>F-02</t>
  </si>
  <si>
    <t>BM-186 Kupfer sits on LOINC 14665-4 Copper [Moles/volume] but the unit is ug/L (mass).</t>
  </si>
  <si>
    <t>As F-01.</t>
  </si>
  <si>
    <t>F-03</t>
  </si>
  <si>
    <t>BM-405 Vitamin K sits on LOINC 58793-1 Phytonadione [Moles/volume] but the unit is ng/L (mass).</t>
  </si>
  <si>
    <t>F-04</t>
  </si>
  <si>
    <t>Data pipeline</t>
  </si>
  <si>
    <t>HIGH</t>
  </si>
  <si>
    <t>FineTuned workbook lost the parsed low/high/population columns in Reference_Intervals: 98 populated rows became 0. Only free German prose remains.</t>
  </si>
  <si>
    <t>Restored in this file from the 2026-07-27 workbook. Fix the builder so the parse survives export.</t>
  </si>
  <si>
    <t>Peter</t>
  </si>
  <si>
    <t>RESOLVED_IN_THIS_FILE</t>
  </si>
  <si>
    <t>F-05</t>
  </si>
  <si>
    <t>MEDIUM</t>
  </si>
  <si>
    <t>FineTuned Reference_Intervals dropped from 100 rows to 70.</t>
  </si>
  <si>
    <t>Restored from the 2026-07-27 workbook.</t>
  </si>
  <si>
    <t>F-06</t>
  </si>
  <si>
    <t>All units were in German or local notation. G/l and T/l in particular mean 10*9/L and 10*12/L, not gauss and tesla per litre.</t>
  </si>
  <si>
    <t>unit_ucum column added for all 67. Must still be validated against a real UCUM grammar library in CI.</t>
  </si>
  <si>
    <t>F-07</t>
  </si>
  <si>
    <t>Semantics</t>
  </si>
  <si>
    <t>organ_mapping was free text: 26 tokens, comma separated, no controlled vocabulary and no ontology binding.</t>
  </si>
  <si>
    <t>Closed 25-value region enum added on the Region_Enum sheet, plus a token crosswalk.</t>
  </si>
  <si>
    <t>Peter, confirm with Martin</t>
  </si>
  <si>
    <t>PROPOSED</t>
  </si>
  <si>
    <t>F-08</t>
  </si>
  <si>
    <t>Four markers had no clean region target: BM-128 Glukose, BM-125 Gesamteiweiss, BM-156 Homocystein, BM-258 Magnesium.</t>
  </si>
  <si>
    <t>Overrides applied and flagged in the region_assignment column. Each needs confirming.</t>
  </si>
  <si>
    <t>Clinical reviewer</t>
  </si>
  <si>
    <t>F-09</t>
  </si>
  <si>
    <t>LOW</t>
  </si>
  <si>
    <t>Three tokens carry no locational information: Systemic, Endocrine, Metabolic.</t>
  </si>
  <si>
    <t>Retire. See Organ_Mapping_Crosswalk.</t>
  </si>
  <si>
    <t>F-10</t>
  </si>
  <si>
    <t>Evidence</t>
  </si>
  <si>
    <t>The G-I-N RIS export is malformed. TY is used as a keyword field, UR holds a region name, AU holds emails and years. A standard parser produces nonsense.</t>
  </si>
  <si>
    <t>Re-export or convert to a JSON index with stable citation ids before the rule pack cites it.</t>
  </si>
  <si>
    <t>F-11</t>
  </si>
  <si>
    <t>Method</t>
  </si>
  <si>
    <t>SAD Figure 11 shows Core tier 1 N=36 and Excluded 9. The workbook shows 35 and 10, with the Kreatinin panel moved to decomposition.</t>
  </si>
  <si>
    <t>Workbook is the later artefact. Update Figure 11 so the two agree.</t>
  </si>
  <si>
    <t>F-12</t>
  </si>
  <si>
    <t>Catalogue size is stated as 422 in the SAD and the workbook, and as 420 in the Landscape Review after removing rows 89 and 96.</t>
  </si>
  <si>
    <t>Pick one number and state where the other two rows went.</t>
  </si>
  <si>
    <t>F-13</t>
  </si>
  <si>
    <t>Architecture</t>
  </si>
  <si>
    <t>BY DESIGN</t>
  </si>
  <si>
    <t>36 of the 67 core markers have no reference interval on file.</t>
  </si>
  <si>
    <t>Not a defect. Per SAD invariant 3 the interval belongs to the Observation, and a null interval means the model abstains. Column interval_availability records this.</t>
  </si>
  <si>
    <t>n/a</t>
  </si>
  <si>
    <t>CLOSED</t>
  </si>
  <si>
    <t>F-14</t>
  </si>
  <si>
    <t>Governance</t>
  </si>
  <si>
    <t>All 67 LOINC codes are marked UNVERIFIED. No signed review record exists for any of them.</t>
  </si>
  <si>
    <t>Needs a named human reviewer. CI stays red until records exist.</t>
  </si>
  <si>
    <t>UNASSIGNED</t>
  </si>
  <si>
    <t>F-16</t>
  </si>
  <si>
    <t>OPEN QUESTION</t>
  </si>
  <si>
    <t>BM-128 Glukose and BM-139 HbA1c are assigned to metabolic_glycemic (system) rather than pancreas_endocrine (anatomical). Lighting the pancreas for a raised HbA1c is what most consumer twins do and it is medically misleading, since the organ is usually not the lesion.</t>
  </si>
  <si>
    <t>Confirm with the clinical reviewer. If confirmed, rule-pack v0.1 must be updated: it currently emits glycemic_dysregulation against pancreas_endocrine.</t>
  </si>
  <si>
    <t>F-15</t>
  </si>
  <si>
    <t>Data model</t>
  </si>
  <si>
    <t>Five rows in Reference_Intervals are interpretive bands (optimal, gut, grenzwertig, erhoeht, pathologisch), not reference intervals. They are already an interpretation.</t>
  </si>
  <si>
    <t>Tagged in the new record_kind column. Do not load them into the same field as measured intervals.</t>
  </si>
  <si>
    <t>c3_pass</t>
  </si>
  <si>
    <t>selection_status</t>
  </si>
  <si>
    <t>guideline_evidence</t>
  </si>
  <si>
    <t>guideline_url</t>
  </si>
  <si>
    <t>excluded_C3</t>
  </si>
  <si>
    <t>No GIN-listed CPG names plasma/serum CoQ10 as a diagnostic measured parameter; ESPEN lists CoQ10 under non-DRI nutrients</t>
  </si>
  <si>
    <t>BM-292</t>
  </si>
  <si>
    <t>Omega-3-Fettsäuren</t>
  </si>
  <si>
    <t>No NICE/AWMF/WHO/SIGN CPG names blood omega-3 index / fatty-acid panel as a measured clinical parameter</t>
  </si>
  <si>
    <t>constituent</t>
  </si>
  <si>
    <t>c2_ok</t>
  </si>
  <si>
    <t>action</t>
  </si>
  <si>
    <t>added_to_core</t>
  </si>
  <si>
    <t>Kleines Blutbild</t>
  </si>
  <si>
    <t>skipped_already_in_catalogue</t>
  </si>
  <si>
    <t>Zöliakie-Diagnostik (tTG/EMA)</t>
  </si>
  <si>
    <t>tTG-IgA (Gewebe-Transglutaminase)</t>
  </si>
  <si>
    <t>added_excluded_C2</t>
  </si>
  <si>
    <t>EMA (Endomysium-Antikörper)</t>
  </si>
  <si>
    <t>organ_mapping</t>
  </si>
  <si>
    <t>number_format</t>
  </si>
  <si>
    <t>exclusion_reason</t>
  </si>
  <si>
    <t>c3_gin_guideline</t>
  </si>
  <si>
    <t>out_of_scope</t>
  </si>
  <si>
    <t>1.234,000</t>
  </si>
  <si>
    <t>IMD</t>
  </si>
  <si>
    <t>excluded_single_provider</t>
  </si>
  <si>
    <t>C1: offered by only 1 of 3 providers — not admitted</t>
  </si>
  <si>
    <t>BM-003</t>
  </si>
  <si>
    <t>ACE2-AAk</t>
  </si>
  <si>
    <t>Limbach</t>
  </si>
  <si>
    <t>BM-006</t>
  </si>
  <si>
    <t>ALEX2</t>
  </si>
  <si>
    <t>Meinlabor</t>
  </si>
  <si>
    <t>BM-008</t>
  </si>
  <si>
    <t>Allergiescreening - Blot Panel Atopie (IgE)</t>
  </si>
  <si>
    <t>BM-009</t>
  </si>
  <si>
    <t>Allergiescreening - Blot Panel Nahrungsmittel (IgE)</t>
  </si>
  <si>
    <t>BM-010</t>
  </si>
  <si>
    <t>Aminosäure</t>
  </si>
  <si>
    <t>BM-011</t>
  </si>
  <si>
    <t>Amphetamine/Ecstasy</t>
  </si>
  <si>
    <t>BM-013</t>
  </si>
  <si>
    <t>Angiotensin-II-Rezeptor-I-Antikörper</t>
  </si>
  <si>
    <t>BM-015</t>
  </si>
  <si>
    <t>Antioxidantien Plus - Mikronährstoffprofil</t>
  </si>
  <si>
    <t>BM-016</t>
  </si>
  <si>
    <t>Antioxidative Kapazität - Basisprofil</t>
  </si>
  <si>
    <t>BM-017</t>
  </si>
  <si>
    <t>Antithrombin-Aktivität</t>
  </si>
  <si>
    <t>BM-020</t>
  </si>
  <si>
    <t>Apolipoprotein E</t>
  </si>
  <si>
    <t>BM-021</t>
  </si>
  <si>
    <t>Arteriosklerose-Profil</t>
  </si>
  <si>
    <t>BM-022</t>
  </si>
  <si>
    <t>Asthma/Rhinitis</t>
  </si>
  <si>
    <t>BM-023</t>
  </si>
  <si>
    <t>Asthma/Rhinitis - Frühling</t>
  </si>
  <si>
    <t>BM-024</t>
  </si>
  <si>
    <t>Asthma/Rhinitis - Frühsommer</t>
  </si>
  <si>
    <t>BM-025</t>
  </si>
  <si>
    <t>Asthma/Rhinitis - Spätsommer</t>
  </si>
  <si>
    <t>BM-027</t>
  </si>
  <si>
    <t>B-Vitamin-Status bioaktiv - großes Profil</t>
  </si>
  <si>
    <t>BM-028</t>
  </si>
  <si>
    <t>B-Vitamin-Status bioaktiv - kleines Profil</t>
  </si>
  <si>
    <t>BM-029</t>
  </si>
  <si>
    <t>Babesien (microti, divergens) IgG Antikörper</t>
  </si>
  <si>
    <t>BM-030</t>
  </si>
  <si>
    <t>Bartonella henselae IgG, IgM Antikörper</t>
  </si>
  <si>
    <t>BM-031</t>
  </si>
  <si>
    <t>Basophilenaktivierungs (BAT) auf Agar</t>
  </si>
  <si>
    <t>BM-032</t>
  </si>
  <si>
    <t>Basophilenaktivierungs (BAT) auf Amaranth E123</t>
  </si>
  <si>
    <t>BM-033</t>
  </si>
  <si>
    <t>Basophilenaktivierungs (BAT) auf Azorubin E122</t>
  </si>
  <si>
    <t>BM-034</t>
  </si>
  <si>
    <t>Basophilenaktivierungs (BAT) auf Benzoesäure (Na-Benzoat)</t>
  </si>
  <si>
    <t>BM-035</t>
  </si>
  <si>
    <t>Basophilenaktivierungs (BAT) auf Brillant Schwarz E151</t>
  </si>
  <si>
    <t>BM-036</t>
  </si>
  <si>
    <t>Basophilenaktivierungs (BAT) auf Carboxymethylcellulose</t>
  </si>
  <si>
    <t>BM-037</t>
  </si>
  <si>
    <t>Basophilenaktivierungs (BAT) auf Chinolin Gelb E104</t>
  </si>
  <si>
    <t>BM-038</t>
  </si>
  <si>
    <t>Basophilenaktivierungs (BAT) auf Chlorhexidine</t>
  </si>
  <si>
    <t>BM-039</t>
  </si>
  <si>
    <t>Basophilenaktivierungs (BAT) auf Coccinelle Rot E124</t>
  </si>
  <si>
    <t>BM-040</t>
  </si>
  <si>
    <t>Basophilenaktivierungs (BAT) auf Erythrosin E127</t>
  </si>
  <si>
    <t>BM-041</t>
  </si>
  <si>
    <t>Basophilenaktivierungs (BAT) auf Gelb-Orange E110</t>
  </si>
  <si>
    <t>BM-042</t>
  </si>
  <si>
    <t>Basophilenaktivierungs (BAT) auf Glutamat (Glutaminsäure)</t>
  </si>
  <si>
    <t>BM-043</t>
  </si>
  <si>
    <t>Basophilenaktivierungs (BAT) auf Indigocarmin E132</t>
  </si>
  <si>
    <t>BM-044</t>
  </si>
  <si>
    <t>Basophilenaktivierungs (BAT) auf K-Metabisulfit</t>
  </si>
  <si>
    <t>BM-045</t>
  </si>
  <si>
    <t>Basophilenaktivierungs (BAT) auf Patent Blau E131</t>
  </si>
  <si>
    <t>BM-046</t>
  </si>
  <si>
    <t>Basophilenaktivierungs (BAT) auf Propyl-p-Hydroxybenzoat</t>
  </si>
  <si>
    <t>BM-047</t>
  </si>
  <si>
    <t>Basophilenaktivierungs (BAT) auf Tartrazin</t>
  </si>
  <si>
    <t>BM-048</t>
  </si>
  <si>
    <t>BAT Lebensmittelfarbmischung I</t>
  </si>
  <si>
    <t>BM-049</t>
  </si>
  <si>
    <t>BAT Lebensmittelfarbmischung II</t>
  </si>
  <si>
    <t>BM-050</t>
  </si>
  <si>
    <t>BAT Nahrungsmittelzusatzstoffe I</t>
  </si>
  <si>
    <t>BM-051</t>
  </si>
  <si>
    <t>BAT Nahrungsmittelzusatzstoffe II</t>
  </si>
  <si>
    <t>BM-053</t>
  </si>
  <si>
    <t>Belastungssteuerung - Basis-Profil</t>
  </si>
  <si>
    <t>BM-054</t>
  </si>
  <si>
    <t>Belastungssteuerung - Performance-Profil</t>
  </si>
  <si>
    <t>BM-058</t>
  </si>
  <si>
    <t>Birke</t>
  </si>
  <si>
    <t>BM-061</t>
  </si>
  <si>
    <t>Borreliose (Borrelien)</t>
  </si>
  <si>
    <t>BM-065</t>
  </si>
  <si>
    <t>Candida albicans</t>
  </si>
  <si>
    <t>BM-066</t>
  </si>
  <si>
    <t>Candida parapsilosis</t>
  </si>
  <si>
    <t>BM-067</t>
  </si>
  <si>
    <t>Cannabinoide</t>
  </si>
  <si>
    <t>BM-074</t>
  </si>
  <si>
    <t>Chronische Entzündung</t>
  </si>
  <si>
    <t>BM-075</t>
  </si>
  <si>
    <t>Cobalt</t>
  </si>
  <si>
    <t>C3 fail: No GIN-listed CPG names plasma/serum CoQ10 as a diagnostic measured parameter; ESPEN lists CoQ10 under non-DRI nutrients</t>
  </si>
  <si>
    <t>BM-080</t>
  </si>
  <si>
    <t>CXCR3-Rezeptor-Antikörper</t>
  </si>
  <si>
    <t>BM-082</t>
  </si>
  <si>
    <t>Cytomegalievirus (CMV)</t>
  </si>
  <si>
    <t>excluded_C2_from_two_provider</t>
  </si>
  <si>
    <t>C2 serology</t>
  </si>
  <si>
    <t>BM-083</t>
  </si>
  <si>
    <t>DAO-Aktivität (Histamin-Abbau)</t>
  </si>
  <si>
    <t>BM-084</t>
  </si>
  <si>
    <t>DAO-Konzentration (Histamin-Abbau-Enzym)</t>
  </si>
  <si>
    <t>BM-085</t>
  </si>
  <si>
    <t>Darmflora-Basisuntersuchung (Quantitatives Mikrobiotaprofil)</t>
  </si>
  <si>
    <t>BM-086</t>
  </si>
  <si>
    <t>Darmparasiten: Stuhluntersuchung auf Parasiten, Würmer und Wurmeier</t>
  </si>
  <si>
    <t>BM-088</t>
  </si>
  <si>
    <t>Diabetes-Check</t>
  </si>
  <si>
    <t>BM-089</t>
  </si>
  <si>
    <t>Diphtherie-Ak</t>
  </si>
  <si>
    <t>BM-091</t>
  </si>
  <si>
    <t>Ehrlichia Antikörper</t>
  </si>
  <si>
    <t>BM-093</t>
  </si>
  <si>
    <t>Eisenstoffwechsel</t>
  </si>
  <si>
    <t>BM-094</t>
  </si>
  <si>
    <t>Eiweißelektrophorese</t>
  </si>
  <si>
    <t>BM-095</t>
  </si>
  <si>
    <t>Ekzem-Auslöser (IgE)</t>
  </si>
  <si>
    <t>BM-096</t>
  </si>
  <si>
    <t>Endothelin-Rezeptor-A-Antikörper</t>
  </si>
  <si>
    <t>BM-097</t>
  </si>
  <si>
    <t>Energiehaushalt</t>
  </si>
  <si>
    <t>BM-098</t>
  </si>
  <si>
    <t>Entgiftungskapazitäts</t>
  </si>
  <si>
    <t>BM-099</t>
  </si>
  <si>
    <t>Epidermophyton floccosum</t>
  </si>
  <si>
    <t>BM-100</t>
  </si>
  <si>
    <t>Epstein-Barr-Virus (EBV)</t>
  </si>
  <si>
    <t>BM-102</t>
  </si>
  <si>
    <t>Erdnuss</t>
  </si>
  <si>
    <t>BM-103</t>
  </si>
  <si>
    <t>Estron</t>
  </si>
  <si>
    <t>BM-105</t>
  </si>
  <si>
    <t>Faktor-II-Mutation</t>
  </si>
  <si>
    <t>BM-106</t>
  </si>
  <si>
    <t>Faktor-V-Leiden-Mutation</t>
  </si>
  <si>
    <t>BM-108</t>
  </si>
  <si>
    <t>Fettstoffwechsel Basis</t>
  </si>
  <si>
    <t>BM-109</t>
  </si>
  <si>
    <t>Fettstoffwechsel Plus</t>
  </si>
  <si>
    <t>BM-110</t>
  </si>
  <si>
    <t>FGF23 (intakt)</t>
  </si>
  <si>
    <t>BM-116</t>
  </si>
  <si>
    <t>Freies Testosteron</t>
  </si>
  <si>
    <t>BM-118</t>
  </si>
  <si>
    <t>Fruktoseintoleranz</t>
  </si>
  <si>
    <t>C2 functional assay</t>
  </si>
  <si>
    <t>BM-120</t>
  </si>
  <si>
    <t>FSME</t>
  </si>
  <si>
    <t>excluded_C2_from_intersection</t>
  </si>
  <si>
    <t>C2 qualitative serology</t>
  </si>
  <si>
    <t>BM-121</t>
  </si>
  <si>
    <t>Funktionelle Mikrobiom-Untersuchung (Funktionelles Mikrobiotaprofil)</t>
  </si>
  <si>
    <t>BM-126</t>
  </si>
  <si>
    <t>Gesamtprofil - Mineralstoffe und toxische Metalle 11+28</t>
  </si>
  <si>
    <t>BM-127</t>
  </si>
  <si>
    <t>Glukokortikoid Rezeptor-Aktivitäts (GR-Aktivität)</t>
  </si>
  <si>
    <t>BM-131</t>
  </si>
  <si>
    <t>GPCR-Antikörper-Profil</t>
  </si>
  <si>
    <t>BM-133</t>
  </si>
  <si>
    <t>Granulozytenfunktions</t>
  </si>
  <si>
    <t>BM-134</t>
  </si>
  <si>
    <t>Großer Allergie ALEX³</t>
  </si>
  <si>
    <t>BM-135</t>
  </si>
  <si>
    <t>C2 composite panel (decompose; constituents re-enter pool)</t>
  </si>
  <si>
    <t>BM-138</t>
  </si>
  <si>
    <t>Hausstaubmilbe</t>
  </si>
  <si>
    <t>BM-141</t>
  </si>
  <si>
    <t>Helicobacter pylori</t>
  </si>
  <si>
    <t>BM-142</t>
  </si>
  <si>
    <t>Hepatitis A</t>
  </si>
  <si>
    <t>BM-143</t>
  </si>
  <si>
    <t>Hepatitis B</t>
  </si>
  <si>
    <t>BM-144</t>
  </si>
  <si>
    <t>Hepatitis C</t>
  </si>
  <si>
    <t>BM-145</t>
  </si>
  <si>
    <t>Hepatitis-A-Ak (IgG)</t>
  </si>
  <si>
    <t>BM-146</t>
  </si>
  <si>
    <t>Hepatitis-Bs-Ak</t>
  </si>
  <si>
    <t>BM-147</t>
  </si>
  <si>
    <t>Herpes-simplex-Virus (HSV)</t>
  </si>
  <si>
    <t>BM-150</t>
  </si>
  <si>
    <t>Histaminbildner Stuhl</t>
  </si>
  <si>
    <t>BM-151</t>
  </si>
  <si>
    <t>HIV</t>
  </si>
  <si>
    <t>BM-152</t>
  </si>
  <si>
    <t>HK zur intrazellulären Berechnung für Mineralstoffprofil</t>
  </si>
  <si>
    <t>BM-153</t>
  </si>
  <si>
    <t>HK-Korrelation für Mineralstoffprofil</t>
  </si>
  <si>
    <t>BM-155</t>
  </si>
  <si>
    <t>HOMA-Index</t>
  </si>
  <si>
    <t>BM-157</t>
  </si>
  <si>
    <t>Hormon Frau (Blut) – Hormonprofil</t>
  </si>
  <si>
    <t>BM-158</t>
  </si>
  <si>
    <t>Hormon Frau (Speichel) – Hormonprofil</t>
  </si>
  <si>
    <t>BM-159</t>
  </si>
  <si>
    <t>Hormon Mann (Blut) – Hormonprofil</t>
  </si>
  <si>
    <t>BM-160</t>
  </si>
  <si>
    <t>Hormon Mann (Speichel) – Hormonprofil</t>
  </si>
  <si>
    <t>BM-161</t>
  </si>
  <si>
    <t>Hühnereiweiß</t>
  </si>
  <si>
    <t>BM-162</t>
  </si>
  <si>
    <t>I-FABP</t>
  </si>
  <si>
    <t>BM-163</t>
  </si>
  <si>
    <t>IDO-Aktivitäts</t>
  </si>
  <si>
    <t>BM-164</t>
  </si>
  <si>
    <t>IFN-γ</t>
  </si>
  <si>
    <t>BM-165</t>
  </si>
  <si>
    <t>IgE (Gesamt)</t>
  </si>
  <si>
    <t>C2 screening total (not single analyte)</t>
  </si>
  <si>
    <t>BM-166</t>
  </si>
  <si>
    <t>IgG-Subklassen</t>
  </si>
  <si>
    <t>BM-167</t>
  </si>
  <si>
    <t>IL-1</t>
  </si>
  <si>
    <t>BM-168</t>
  </si>
  <si>
    <t>IL-10</t>
  </si>
  <si>
    <t>BM-169</t>
  </si>
  <si>
    <t>IL-18 Stuhl (Interleukin-18)</t>
  </si>
  <si>
    <t>BM-170</t>
  </si>
  <si>
    <t>IL-6</t>
  </si>
  <si>
    <t>BM-171</t>
  </si>
  <si>
    <t>Immundefekt Infektneigung</t>
  </si>
  <si>
    <t>BM-172</t>
  </si>
  <si>
    <t>BM-173</t>
  </si>
  <si>
    <t>Immunprofil Immunoseneszenz</t>
  </si>
  <si>
    <t>BM-174</t>
  </si>
  <si>
    <t>Innenraumallergene IgE</t>
  </si>
  <si>
    <t>BM-175</t>
  </si>
  <si>
    <t>IP-10</t>
  </si>
  <si>
    <t>BM-178</t>
  </si>
  <si>
    <t>Keimidentifizierung + Antibiogramm</t>
  </si>
  <si>
    <t>BM-179</t>
  </si>
  <si>
    <t>BM-180</t>
  </si>
  <si>
    <t>Knochen-AP (Ostase/BAP)</t>
  </si>
  <si>
    <t>BM-181</t>
  </si>
  <si>
    <t>BM-182</t>
  </si>
  <si>
    <t>Kofaktoren Neurotransmitter</t>
  </si>
  <si>
    <t>BM-183</t>
  </si>
  <si>
    <t>Kokain</t>
  </si>
  <si>
    <t>BM-185</t>
  </si>
  <si>
    <t>BM-187</t>
  </si>
  <si>
    <t>Kurzkettige Fettsäuren im Stuhl</t>
  </si>
  <si>
    <t>BM-188</t>
  </si>
  <si>
    <t>Kynurenin</t>
  </si>
  <si>
    <t>BM-189</t>
  </si>
  <si>
    <t>Laktoseintoleranz</t>
  </si>
  <si>
    <t>BM-191</t>
  </si>
  <si>
    <t>Leaky gut - Darmpermeabilitäts</t>
  </si>
  <si>
    <t>BM-192</t>
  </si>
  <si>
    <t>Leber Basis</t>
  </si>
  <si>
    <t>BM-193</t>
  </si>
  <si>
    <t>Legierungsmetalle (Kaugummispeichel)</t>
  </si>
  <si>
    <t>BM-194</t>
  </si>
  <si>
    <t>Legierungsmetalle (kombinierter Speichel)</t>
  </si>
  <si>
    <t>BM-195</t>
  </si>
  <si>
    <t>Legierungsmetalle (Morgenspeichel)</t>
  </si>
  <si>
    <t>BM-196</t>
  </si>
  <si>
    <t>Leukotriene</t>
  </si>
  <si>
    <t>BM-198</t>
  </si>
  <si>
    <t>Lieschgras</t>
  </si>
  <si>
    <t>BM-199</t>
  </si>
  <si>
    <t>Lipopolysaccharid-bindendes Protein (LBP)</t>
  </si>
  <si>
    <t>BM-201</t>
  </si>
  <si>
    <t>Lithium</t>
  </si>
  <si>
    <t>BM-202</t>
  </si>
  <si>
    <t>Longevity Advanced Biomarker</t>
  </si>
  <si>
    <t>BM-203</t>
  </si>
  <si>
    <t>Longevity Organgesundheit</t>
  </si>
  <si>
    <t>BM-204</t>
  </si>
  <si>
    <t>Lösliches α-Klotho</t>
  </si>
  <si>
    <t>BM-205</t>
  </si>
  <si>
    <t>Lp-PLA2</t>
  </si>
  <si>
    <t>BM-206</t>
  </si>
  <si>
    <t>LTT-Amalgam</t>
  </si>
  <si>
    <t>BM-207</t>
  </si>
  <si>
    <t>LTT-Candida</t>
  </si>
  <si>
    <t>BM-208</t>
  </si>
  <si>
    <t>LTT-Chlamydia pneumoniae</t>
  </si>
  <si>
    <t>BM-209</t>
  </si>
  <si>
    <t>LTT-Chlamydia trachomatis</t>
  </si>
  <si>
    <t>BM-210</t>
  </si>
  <si>
    <t>LTT-Dental-Check</t>
  </si>
  <si>
    <t>BM-211</t>
  </si>
  <si>
    <t>LTT-Endoprothetik</t>
  </si>
  <si>
    <t>BM-212</t>
  </si>
  <si>
    <t>LTT-Immunfunktion</t>
  </si>
  <si>
    <t>BM-213</t>
  </si>
  <si>
    <t>LTT-Keramik + Zemente</t>
  </si>
  <si>
    <t>BM-214</t>
  </si>
  <si>
    <t>LTT-Kuhmilch</t>
  </si>
  <si>
    <t>BM-215</t>
  </si>
  <si>
    <t>LTT-Kunststoffe</t>
  </si>
  <si>
    <t>BM-216</t>
  </si>
  <si>
    <t>LTT-Lamblien</t>
  </si>
  <si>
    <t>BM-217</t>
  </si>
  <si>
    <t>LTT-MCS-Umweltfaktoren</t>
  </si>
  <si>
    <t>BM-218</t>
  </si>
  <si>
    <t>LTT-Medikament (1 Präparat - bitte mit einsenden)</t>
  </si>
  <si>
    <t>BM-219</t>
  </si>
  <si>
    <t>LTT-Medikamente (1 Wirkstoff - im Labor vorrätig)</t>
  </si>
  <si>
    <t>BM-220</t>
  </si>
  <si>
    <t>LTT-Medikamente (10 Präparate - bitte mit einsenden)</t>
  </si>
  <si>
    <t>BM-221</t>
  </si>
  <si>
    <t>LTT-Medikamente (10 Wirkstoffe - im Labor vorrätig)</t>
  </si>
  <si>
    <t>BM-222</t>
  </si>
  <si>
    <t>LTT-Medikamente (2 Präparate - bitte mit einsenden)</t>
  </si>
  <si>
    <t>BM-223</t>
  </si>
  <si>
    <t>LTT-Medikamente (2 Wirkstoffe - im Labor vorrätig)</t>
  </si>
  <si>
    <t>BM-224</t>
  </si>
  <si>
    <t>LTT-Medikamente (3 Präparate - bitte mit einsenden)</t>
  </si>
  <si>
    <t>BM-225</t>
  </si>
  <si>
    <t>LTT-Medikamente (3 Wirkstoffe - im Labor vorrätig)</t>
  </si>
  <si>
    <t>BM-226</t>
  </si>
  <si>
    <t>LTT-Medikamente (4 Präparate - bitte mit einsenden)</t>
  </si>
  <si>
    <t>BM-227</t>
  </si>
  <si>
    <t>LTT-Medikamente (4 Wirkstoffe - im Labor vorrätig)</t>
  </si>
  <si>
    <t>BM-228</t>
  </si>
  <si>
    <t>LTT-Medikamente (5 Präparate - bitte mit einsenden)</t>
  </si>
  <si>
    <t>BM-229</t>
  </si>
  <si>
    <t>LTT-Medikamente (5 Wirkstoffe - im Labor vorrätig)</t>
  </si>
  <si>
    <t>BM-230</t>
  </si>
  <si>
    <t>LTT-Medikamente (6 Präparate - bitte mit einsenden)</t>
  </si>
  <si>
    <t>BM-231</t>
  </si>
  <si>
    <t>LTT-Medikamente (6 Wirkstoffe - im Labor vorrätig)</t>
  </si>
  <si>
    <t>BM-232</t>
  </si>
  <si>
    <t>LTT-Medikamente (7 Präparate - bitte mit einsenden)</t>
  </si>
  <si>
    <t>BM-233</t>
  </si>
  <si>
    <t>LTT-Medikamente (7 Wirkstoffe - im Labor vorrätig)</t>
  </si>
  <si>
    <t>BM-234</t>
  </si>
  <si>
    <t>LTT-Medikamente (8 Präparate - bitte mit einsenden)</t>
  </si>
  <si>
    <t>BM-235</t>
  </si>
  <si>
    <t>LTT-Medikamente (8 Wirkstoffe - im Labor vorrätig)</t>
  </si>
  <si>
    <t>BM-236</t>
  </si>
  <si>
    <t>LTT-Medikamente (9 Präparate - bitte mit einsenden)</t>
  </si>
  <si>
    <t>BM-237</t>
  </si>
  <si>
    <t>LTT-Medikamente (9 Wirkstoffe - im Labor vorrätig)</t>
  </si>
  <si>
    <t>BM-238</t>
  </si>
  <si>
    <t>LTT-Metalle</t>
  </si>
  <si>
    <t>BM-239</t>
  </si>
  <si>
    <t>LTT-Nahrungsmittel TOP II (Ergänzungsprofil 1)</t>
  </si>
  <si>
    <t>BM-240</t>
  </si>
  <si>
    <t>LTT-Nahrungsmittel TOP III (Ergänzungsprofil 2)</t>
  </si>
  <si>
    <t>BM-241</t>
  </si>
  <si>
    <t>LTT-Nahrungsmittel TOP25 - Basisprofil</t>
  </si>
  <si>
    <t>BM-242</t>
  </si>
  <si>
    <t>LTT-Nahrungsmittel TOP25 VEGAN</t>
  </si>
  <si>
    <t>BM-243</t>
  </si>
  <si>
    <t>LTT-Nahrungsmittel TOP25 vegetarisch</t>
  </si>
  <si>
    <t>BM-244</t>
  </si>
  <si>
    <t>LTT-Nickel</t>
  </si>
  <si>
    <t>BM-245</t>
  </si>
  <si>
    <t>LTT-Schimmelpilze</t>
  </si>
  <si>
    <t>BM-246</t>
  </si>
  <si>
    <t>LTT-Staphylokokken</t>
  </si>
  <si>
    <t>BM-247</t>
  </si>
  <si>
    <t>LTT-Streptokokken</t>
  </si>
  <si>
    <t>BM-248</t>
  </si>
  <si>
    <t>LTT-Titanlegierung</t>
  </si>
  <si>
    <t>BM-249</t>
  </si>
  <si>
    <t>LTT-Viren und Bakterien</t>
  </si>
  <si>
    <t>BM-250</t>
  </si>
  <si>
    <t>LTT-Wahlmaterial (1 Präparat)</t>
  </si>
  <si>
    <t>BM-251</t>
  </si>
  <si>
    <t>LTT-Weizen</t>
  </si>
  <si>
    <t>BM-252</t>
  </si>
  <si>
    <t>LTT-Wurzelfüllmaterialien</t>
  </si>
  <si>
    <t>BM-253</t>
  </si>
  <si>
    <t>LTT-Yersinien</t>
  </si>
  <si>
    <t>BM-254</t>
  </si>
  <si>
    <t>Lupus-Antikoagulans</t>
  </si>
  <si>
    <t>BM-255</t>
  </si>
  <si>
    <t>Lymphozyten-Differenzierung</t>
  </si>
  <si>
    <t>BM-256</t>
  </si>
  <si>
    <t>M3-muskarinerge AChRezeptor-AAk</t>
  </si>
  <si>
    <t>BM-257</t>
  </si>
  <si>
    <t>M4-muskarinerge AChRezeptor-AAk</t>
  </si>
  <si>
    <t>BM-259</t>
  </si>
  <si>
    <t>Masern-Ak</t>
  </si>
  <si>
    <t>BM-260</t>
  </si>
  <si>
    <t>Material für genetische Analyse bestellen</t>
  </si>
  <si>
    <t>BM-261</t>
  </si>
  <si>
    <t>MBL (Mannose-bindendes Lektin)</t>
  </si>
  <si>
    <t>BM-262</t>
  </si>
  <si>
    <t>MCAS Mastzellaktivität</t>
  </si>
  <si>
    <t>BM-263</t>
  </si>
  <si>
    <t>Melatonin Speichel (Bettzeit)</t>
  </si>
  <si>
    <t>BM-264</t>
  </si>
  <si>
    <t>Methylmalonsäure-Blut</t>
  </si>
  <si>
    <t>BM-265</t>
  </si>
  <si>
    <t>Methylmalonsäure-Urin</t>
  </si>
  <si>
    <t>BM-266</t>
  </si>
  <si>
    <t>Microsporum audouinii</t>
  </si>
  <si>
    <t>BM-267</t>
  </si>
  <si>
    <t>Microsporum canis</t>
  </si>
  <si>
    <t>BM-268</t>
  </si>
  <si>
    <t>Mikrobiom-Untersuchung (Molekulargenetisches Mikrobiotaprofil)</t>
  </si>
  <si>
    <t>BM-269</t>
  </si>
  <si>
    <t>Mikronährstoffprofil</t>
  </si>
  <si>
    <t>BM-270</t>
  </si>
  <si>
    <t>Mikronährstoffprofil (nach Dr. Schellenberg)</t>
  </si>
  <si>
    <t>BM-271</t>
  </si>
  <si>
    <t>Mikronährstoffprofil Dentale Knochenheilung (nach Dr. Theuerkauf)</t>
  </si>
  <si>
    <t>BM-272</t>
  </si>
  <si>
    <t>Milcheiweiß</t>
  </si>
  <si>
    <t>BM-273</t>
  </si>
  <si>
    <t>Mineralstoffprofil 11+4</t>
  </si>
  <si>
    <t>BM-274</t>
  </si>
  <si>
    <t>Mineralstoffprofil 11+6</t>
  </si>
  <si>
    <t>BM-275</t>
  </si>
  <si>
    <t>Mineralstoffprofil 7+2</t>
  </si>
  <si>
    <t>BM-276</t>
  </si>
  <si>
    <t>Mitochondrienfunktion Basisprofil</t>
  </si>
  <si>
    <t>BM-277</t>
  </si>
  <si>
    <t>Mitochondrienfunktion Plus</t>
  </si>
  <si>
    <t>BM-278</t>
  </si>
  <si>
    <t>Mucin-/Butyratbildung Stuhl (qPCR)</t>
  </si>
  <si>
    <t>BM-279</t>
  </si>
  <si>
    <t>Multiplex-PCR STI</t>
  </si>
  <si>
    <t>BM-280</t>
  </si>
  <si>
    <t>Mumps-Ak</t>
  </si>
  <si>
    <t>BM-281</t>
  </si>
  <si>
    <t>Mykotoxinbelastung</t>
  </si>
  <si>
    <t>BM-282</t>
  </si>
  <si>
    <t>NAD+ und NADH</t>
  </si>
  <si>
    <t>BM-283</t>
  </si>
  <si>
    <t>Nährstoffcheck bei Kinderwunsch oder Schwangerschaft</t>
  </si>
  <si>
    <t>BM-284</t>
  </si>
  <si>
    <t>Nährstoffcheck in der Schwangerschaft bei veganer oder vegetarischer Ernährung</t>
  </si>
  <si>
    <t>BM-285</t>
  </si>
  <si>
    <t>Nannizzia gypsea</t>
  </si>
  <si>
    <t>BM-287</t>
  </si>
  <si>
    <t>Neurotransmitter-Rezeptor-AAk</t>
  </si>
  <si>
    <t>BM-288</t>
  </si>
  <si>
    <t>Nicotinamin (B3) bioaktiv</t>
  </si>
  <si>
    <t>BM-289</t>
  </si>
  <si>
    <t>Nitrotyrosin (Marker nitrosativer Stress)</t>
  </si>
  <si>
    <t>BM-290</t>
  </si>
  <si>
    <t>NK-Zell-Zytotoxizitäts</t>
  </si>
  <si>
    <t>BM-291</t>
  </si>
  <si>
    <t>Nussprofil</t>
  </si>
  <si>
    <t>C3 fail: No NICE/AWMF/WHO/SIGN CPG names blood omega-3 index / fatty-acid panel as a measured clinical parameter</t>
  </si>
  <si>
    <t>BM-293</t>
  </si>
  <si>
    <t>Opiate/Morphinderivate</t>
  </si>
  <si>
    <t>BM-294</t>
  </si>
  <si>
    <t>Osteocalcin</t>
  </si>
  <si>
    <t>BM-296</t>
  </si>
  <si>
    <t>Oxidativer Stress</t>
  </si>
  <si>
    <t>BM-298</t>
  </si>
  <si>
    <t>PAR1-Antikörper</t>
  </si>
  <si>
    <t>BM-300</t>
  </si>
  <si>
    <t>Parodontitis Abnahmeset für Zahnfleischtasche</t>
  </si>
  <si>
    <t>BM-301</t>
  </si>
  <si>
    <t>Parvovirus B19</t>
  </si>
  <si>
    <t>BM-302</t>
  </si>
  <si>
    <t>PEth (Alkoholmarker)</t>
  </si>
  <si>
    <t>BM-304</t>
  </si>
  <si>
    <t>Phospholipid-Antikörper</t>
  </si>
  <si>
    <t>BM-305</t>
  </si>
  <si>
    <t>Polio-Ak</t>
  </si>
  <si>
    <t>BM-306</t>
  </si>
  <si>
    <t>Porphyrinmuster Urin (Umwelttoxin-Belastung)</t>
  </si>
  <si>
    <t>BM-307</t>
  </si>
  <si>
    <t>Profil Haarausfall</t>
  </si>
  <si>
    <t>BM-308</t>
  </si>
  <si>
    <t>Profil Leber &amp; Pankreas</t>
  </si>
  <si>
    <t>BM-309</t>
  </si>
  <si>
    <t>Profil Vitalstoffe Diabetes</t>
  </si>
  <si>
    <t>BM-310</t>
  </si>
  <si>
    <t>Profil Vitalstoffe Knochen</t>
  </si>
  <si>
    <t>BM-313</t>
  </si>
  <si>
    <t>Protein-C-Aktivität</t>
  </si>
  <si>
    <t>BM-314</t>
  </si>
  <si>
    <t>Protein-S-Aktivität</t>
  </si>
  <si>
    <t>BM-316</t>
  </si>
  <si>
    <t>QuantiFERON-TB</t>
  </si>
  <si>
    <t>BM-317</t>
  </si>
  <si>
    <t>Quantitativer zellulärer Immunstatus – Basisprofil</t>
  </si>
  <si>
    <t>BM-318</t>
  </si>
  <si>
    <t>Quantitativer zellulärer Immunstatus – Immunkompetenz</t>
  </si>
  <si>
    <t>BM-319</t>
  </si>
  <si>
    <t>Quecksilber</t>
  </si>
  <si>
    <t>BM-320</t>
  </si>
  <si>
    <t>RANTES</t>
  </si>
  <si>
    <t>BM-321</t>
  </si>
  <si>
    <t>Reaktivität Mercaptane/Thioether</t>
  </si>
  <si>
    <t>BM-322</t>
  </si>
  <si>
    <t>Regenerative Kapazität - Basis-Profil</t>
  </si>
  <si>
    <t>BM-323</t>
  </si>
  <si>
    <t>Regenerative Kapazität - Performance-Profil</t>
  </si>
  <si>
    <t>BM-324</t>
  </si>
  <si>
    <t>Reverse T3</t>
  </si>
  <si>
    <t>BM-325</t>
  </si>
  <si>
    <t>Richtige Bettzeit finden - Dim Light Melatonin Onset (DLMO)</t>
  </si>
  <si>
    <t>BM-326</t>
  </si>
  <si>
    <t>Rickettsien (rickettsii) Antikörper</t>
  </si>
  <si>
    <t>BM-327</t>
  </si>
  <si>
    <t>Röteln-Ak</t>
  </si>
  <si>
    <t>BM-328</t>
  </si>
  <si>
    <t>SARS-CoV-2-Antikörper</t>
  </si>
  <si>
    <t>BM-329</t>
  </si>
  <si>
    <t>sCD14 (lösliches CD14)</t>
  </si>
  <si>
    <t>BM-330</t>
  </si>
  <si>
    <t>sCD40L</t>
  </si>
  <si>
    <t>BM-331</t>
  </si>
  <si>
    <t>SCFA (Kurzkettige Fettsäuren)</t>
  </si>
  <si>
    <t>BM-332</t>
  </si>
  <si>
    <t>Schilddrüsenfunktion Autoimmun</t>
  </si>
  <si>
    <t>BM-333</t>
  </si>
  <si>
    <t>Schilddrüsenfunktion Basis</t>
  </si>
  <si>
    <t>BM-334</t>
  </si>
  <si>
    <t>Schimmelpilz-Allergie</t>
  </si>
  <si>
    <t>BM-335</t>
  </si>
  <si>
    <t>Schlafprofil (2 Uhr nachts)</t>
  </si>
  <si>
    <t>BM-336</t>
  </si>
  <si>
    <t>Schlafprofil (Bettzeit) aus dem Speichel</t>
  </si>
  <si>
    <t>BM-337</t>
  </si>
  <si>
    <t>Scopulariopsis brevicaulis</t>
  </si>
  <si>
    <t>BM-338</t>
  </si>
  <si>
    <t>Screening-Mischungen (Allergene)</t>
  </si>
  <si>
    <t>BM-339</t>
  </si>
  <si>
    <t>Screeningprofil Multisystemerkrankungen</t>
  </si>
  <si>
    <t>BM-340</t>
  </si>
  <si>
    <t>Sekretorisches IgA Stuhl</t>
  </si>
  <si>
    <t>BM-342</t>
  </si>
  <si>
    <t>Selenoprotein P</t>
  </si>
  <si>
    <t>BM-343</t>
  </si>
  <si>
    <t>Sellerie</t>
  </si>
  <si>
    <t>BM-344</t>
  </si>
  <si>
    <t>Serotonin</t>
  </si>
  <si>
    <t>BM-345</t>
  </si>
  <si>
    <t>Serotoninstoffwechsel</t>
  </si>
  <si>
    <t>BM-347</t>
  </si>
  <si>
    <t>SIBO Atemgas</t>
  </si>
  <si>
    <t>BM-348</t>
  </si>
  <si>
    <t>sIL-2 Rezeptor</t>
  </si>
  <si>
    <t>BM-349</t>
  </si>
  <si>
    <t>Sojabohne</t>
  </si>
  <si>
    <t>BM-350</t>
  </si>
  <si>
    <t>Speichel auf Kunststoffbestandteile aus Zahnersatz</t>
  </si>
  <si>
    <t>BM-351</t>
  </si>
  <si>
    <t>STI-Screening</t>
  </si>
  <si>
    <t>BM-352</t>
  </si>
  <si>
    <t>Stuhl auf Verdauungsrückstände (Eiweiß, Fett, Wasser, Zucker)</t>
  </si>
  <si>
    <t>BM-353</t>
  </si>
  <si>
    <t>Stuhltest auf okkultes Blut (iFOBT/FIT)</t>
  </si>
  <si>
    <t>C2 panel / screening assay</t>
  </si>
  <si>
    <t>BM-354</t>
  </si>
  <si>
    <t>Syphilis</t>
  </si>
  <si>
    <t>BM-355</t>
  </si>
  <si>
    <t>T-Helferzellstatus (TH1/TH2)</t>
  </si>
  <si>
    <t>BM-356</t>
  </si>
  <si>
    <t>T-Helferzellstatus (TH1/TH2/TH17/Treg)</t>
  </si>
  <si>
    <t>BM-357</t>
  </si>
  <si>
    <t>Telomerlängenmessung</t>
  </si>
  <si>
    <t>BM-359</t>
  </si>
  <si>
    <t>Tetanus-Ak</t>
  </si>
  <si>
    <t>BM-360</t>
  </si>
  <si>
    <t>TGF-β</t>
  </si>
  <si>
    <t>BM-361</t>
  </si>
  <si>
    <t>Thiol-Status</t>
  </si>
  <si>
    <t>BM-362</t>
  </si>
  <si>
    <t>Thyreoglobulin-Ak</t>
  </si>
  <si>
    <t>BM-363</t>
  </si>
  <si>
    <t>Thyreoperoxidase-Ak</t>
  </si>
  <si>
    <t>BM-364</t>
  </si>
  <si>
    <t>Tierepithelien (Allergene)</t>
  </si>
  <si>
    <t>BM-365</t>
  </si>
  <si>
    <t>Titanstimulations</t>
  </si>
  <si>
    <t>BM-366</t>
  </si>
  <si>
    <t>Titin N-Fragment</t>
  </si>
  <si>
    <t>BM-367</t>
  </si>
  <si>
    <t>TNF-α</t>
  </si>
  <si>
    <t>BM-368</t>
  </si>
  <si>
    <t>TNF-α Hemm (1 Präparat)</t>
  </si>
  <si>
    <t>BM-369</t>
  </si>
  <si>
    <t>TNF-α Hemm (10 Präparate)</t>
  </si>
  <si>
    <t>BM-370</t>
  </si>
  <si>
    <t>TNF-α Hemm (2 Präparate)</t>
  </si>
  <si>
    <t>BM-371</t>
  </si>
  <si>
    <t>TNF-α Hemm (3 Präparate)</t>
  </si>
  <si>
    <t>BM-372</t>
  </si>
  <si>
    <t>TNF-α Hemm (4 Präparate)</t>
  </si>
  <si>
    <t>BM-373</t>
  </si>
  <si>
    <t>TNF-α Hemm (5 Präparate)</t>
  </si>
  <si>
    <t>BM-374</t>
  </si>
  <si>
    <t>TNF-α Hemm (6 Präparate)</t>
  </si>
  <si>
    <t>BM-375</t>
  </si>
  <si>
    <t>TNF-α Hemm (7 Präparate)</t>
  </si>
  <si>
    <t>BM-376</t>
  </si>
  <si>
    <t>TNF-α Hemm (8 Präparate)</t>
  </si>
  <si>
    <t>BM-377</t>
  </si>
  <si>
    <t>TNF-α Hemm (9 Präparate)</t>
  </si>
  <si>
    <t>BM-378</t>
  </si>
  <si>
    <t>Tollwut-Ak</t>
  </si>
  <si>
    <t>BM-379</t>
  </si>
  <si>
    <t>Toxische Metalle (Blut)</t>
  </si>
  <si>
    <t>BM-380</t>
  </si>
  <si>
    <t>Toxische Metalle Urin (Spontanurin)</t>
  </si>
  <si>
    <t>BM-381</t>
  </si>
  <si>
    <t>Toxoplasma gondii</t>
  </si>
  <si>
    <t>BM-382</t>
  </si>
  <si>
    <t>Trichophyton (Dermatophyten-Panel)</t>
  </si>
  <si>
    <t>BM-384</t>
  </si>
  <si>
    <t>Tryptase</t>
  </si>
  <si>
    <t>BM-385</t>
  </si>
  <si>
    <t>Tryptophan</t>
  </si>
  <si>
    <t>BM-387</t>
  </si>
  <si>
    <t>Urin-Sediment</t>
  </si>
  <si>
    <t>BM-388</t>
  </si>
  <si>
    <t>Urinstatus (Stix)</t>
  </si>
  <si>
    <t>BM-389</t>
  </si>
  <si>
    <t>Varizella-Zoster-Virus (VZV)</t>
  </si>
  <si>
    <t>BM-390</t>
  </si>
  <si>
    <t>VEGF (Vascular Endothelial Growth Factor)</t>
  </si>
  <si>
    <t>BM-391</t>
  </si>
  <si>
    <t>Verdauungsstörung-Stuhl</t>
  </si>
  <si>
    <t>BM-396</t>
  </si>
  <si>
    <t>Vitamin B3 (Nicotinamid)</t>
  </si>
  <si>
    <t>BM-399</t>
  </si>
  <si>
    <t>Vitamin C</t>
  </si>
  <si>
    <t>BM-400</t>
  </si>
  <si>
    <t>Vitamin D (1,25-OH, aktiv)</t>
  </si>
  <si>
    <t>BM-402</t>
  </si>
  <si>
    <t>Vitamin D-bindendes Protein (VDBP)</t>
  </si>
  <si>
    <t>BM-403</t>
  </si>
  <si>
    <t>Vitamin D-Ratio</t>
  </si>
  <si>
    <t>BM-406</t>
  </si>
  <si>
    <t>VNS-Stressprofil im Urin</t>
  </si>
  <si>
    <t>BM-407</t>
  </si>
  <si>
    <t>Weizenallergie</t>
  </si>
  <si>
    <t>BM-408</t>
  </si>
  <si>
    <t>Weizenmehl</t>
  </si>
  <si>
    <t>BM-409</t>
  </si>
  <si>
    <t>Zahnsanierung</t>
  </si>
  <si>
    <t>BM-410</t>
  </si>
  <si>
    <t>Zecken PCR - Erregercheck für Mensch und Tier</t>
  </si>
  <si>
    <t>BM-412</t>
  </si>
  <si>
    <t>BM-413</t>
  </si>
  <si>
    <t>Zonulin im Blut (Leaky gut)</t>
  </si>
  <si>
    <t>BM-414</t>
  </si>
  <si>
    <t>Zonulin Stuhl</t>
  </si>
  <si>
    <t>BM-415</t>
  </si>
  <si>
    <t>Zytokinprofil Stuhl</t>
  </si>
  <si>
    <t>BM-416</t>
  </si>
  <si>
    <t>α-1-Antitrypsin-Stuhl</t>
  </si>
  <si>
    <t>BM-417</t>
  </si>
  <si>
    <t>α-Amylase Awakening Response</t>
  </si>
  <si>
    <t>BM-418</t>
  </si>
  <si>
    <t>α-Amylase-Gesamttagesrhythmik</t>
  </si>
  <si>
    <t>BM-419</t>
  </si>
  <si>
    <t>α-Amylase-Tagesrhythmik</t>
  </si>
  <si>
    <t>BM-420</t>
  </si>
  <si>
    <t>α-Liponsäure</t>
  </si>
  <si>
    <t>BM-421</t>
  </si>
  <si>
    <t>β1-adrenerge Rezeptor-Antikörper</t>
  </si>
  <si>
    <t>BM-422</t>
  </si>
  <si>
    <t>β2-adrenerge Rezeptor-Antikörper</t>
  </si>
  <si>
    <t>BM-437</t>
  </si>
  <si>
    <t>excluded_C2_decomposed</t>
  </si>
  <si>
    <t>C2 qualitative / semi-quantitative serology</t>
  </si>
  <si>
    <t>BM-438</t>
  </si>
  <si>
    <t>date</t>
  </si>
  <si>
    <t>version</t>
  </si>
  <si>
    <t>change</t>
  </si>
  <si>
    <t>2026-07-28</t>
  </si>
  <si>
    <t>v3.0</t>
  </si>
  <si>
    <t>Consolidated 2026_07_27_OpenTwin_AnchorLayer.xlsx and 2026_07_OpenTwin_AnchorLayer_FineTuned.xlsx into one file.</t>
  </si>
  <si>
    <t>Reference_Intervals taken from the 2026-07-27 workbook because the FineTuned version lost the parsed columns.</t>
  </si>
  <si>
    <t>Everything else taken from the FineTuned workbook, which added organ_mapping, LOINC_Map, C3_Audit, Panel_Decomposition and Exclusions.</t>
  </si>
  <si>
    <t>Added unit_ucum and ucum_note for all 67 core markers.</t>
  </si>
  <si>
    <t>Added region_ids, a closed 25-value region enum, and a crosswalk from the 26 free-text organ_mapping tokens.</t>
  </si>
  <si>
    <t>Added issuer, issuer_kind, assay_or_catalogue, source_url and retrieved_at to Reference_Intervals, per the SAD Anchor data model.</t>
  </si>
  <si>
    <t>Added record_kind to separate interpretive bands from measured reference intervals.</t>
  </si>
  <si>
    <t>Added loinc_review_record, set to UNVERIFIED for all 67. This is the review work queue.</t>
  </si>
  <si>
    <t>Added Data_Quality_Findings with 15 findings, owners and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</si>
</sst>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harset val="1"/>
      <color rgb="FF0F3D3E"/>
      <sz val="14"/>
      <name val="Arial"/>
    </font>
    <font>
      <i/>
      <charset val="1"/>
      <color rgb="FF555555"/>
      <sz val="10"/>
      <name val="Arial"/>
    </font>
    <font>
      <b/>
      <charset val="1"/>
      <sz val="10"/>
      <name val="Arial"/>
    </font>
    <font>
      <charset val="1"/>
      <sz val="10"/>
      <name val="Arial"/>
    </font>
    <font>
      <b/>
      <charset val="1"/>
      <color rgb="FFFFFFFF"/>
      <sz val="10"/>
      <name val="Arial"/>
    </font>
    <font>
      <charset val="1"/>
      <color theme="1"/>
      <family val="2"/>
      <sz val="11"/>
      <name val="Calibri"/>
    </font>
    <font>
      <charset val="1"/>
      <color rgb="FF000000"/>
      <sz val="10"/>
      <name val="Arial"/>
    </font>
    <font>
      <i/>
      <charset val="1"/>
      <color rgb="FFB000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F3D3E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FFF4CE"/>
      </patternFill>
    </fill>
    <fill>
      <patternFill patternType="solid">
        <fgColor rgb="FFFDE2E1"/>
        <bgColor rgb="FFFFF4CE"/>
      </patternFill>
    </fill>
    <fill>
      <patternFill patternType="solid">
        <fgColor rgb="FFFFF4CE"/>
        <bgColor rgb="FFFDE2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2" borderId="0" xfId="0" applyFont="1" applyFill="1" applyAlignment="1">
      <alignment vertical="bottom"/>
    </xf>
    <xf numFmtId="0" fontId="6" fillId="2" borderId="0" xfId="0" applyFont="1" applyFill="1" applyAlignment="1">
      <alignment vertical="bottom"/>
    </xf>
    <xf numFmtId="0" fontId="3" fillId="3" borderId="0" xfId="0" applyFont="1" applyFill="1" applyAlignment="1">
      <alignment horizontal="center" vertical="bottom"/>
    </xf>
    <xf numFmtId="0" fontId="4" fillId="0" borderId="0" xfId="0" applyFont="1" applyAlignment="1">
      <alignment vertical="bottom" wrapText="1"/>
    </xf>
    <xf numFmtId="0" fontId="5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bottom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bottom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8" fillId="0" borderId="0" xfId="0" applyFont="1" applyAlignment="1">
      <alignment vertical="bottom"/>
    </xf>
    <xf numFmtId="0" fontId="4" fillId="5" borderId="1" xfId="0" applyFont="1" applyFill="1" applyBorder="1" applyAlignment="1">
      <alignment vertical="bottom"/>
    </xf>
    <xf numFmtId="0" fontId="4" fillId="6" borderId="1" xfId="0" applyFont="1" applyFill="1" applyBorder="1" applyAlignment="1">
      <alignment vertical="bottom"/>
    </xf>
    <xf numFmtId="0" fontId="4" fillId="4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2" customWidth="1"/>
    <col min="2" max="2" width="22" customWidth="1"/>
    <col min="3" max="3" width="88" customWidth="1"/>
  </cols>
  <sheetData>
    <row r="1" ht="17.35" customHeight="1" spans="1:1" x14ac:dyDescent="0.25">
      <c r="A1" s="1" t="s">
        <v>0</v>
      </c>
    </row>
    <row r="2" ht="15" customHeight="1" spans="1:1" x14ac:dyDescent="0.25">
      <c r="A2" s="2" t="s">
        <v>1</v>
      </c>
    </row>
    <row r="4" ht="15" customHeight="1" spans="1:3" x14ac:dyDescent="0.25">
      <c r="A4" s="3" t="s">
        <v>2</v>
      </c>
      <c r="C4" s="4" t="s">
        <v>3</v>
      </c>
    </row>
    <row r="6" ht="15" customHeight="1" spans="1:3" x14ac:dyDescent="0.25">
      <c r="A6" s="5" t="s">
        <v>4</v>
      </c>
      <c r="B6" s="6"/>
      <c r="C6" s="6"/>
    </row>
    <row r="7" ht="15" customHeight="1" spans="1:3" x14ac:dyDescent="0.25">
      <c r="A7" s="4" t="s">
        <v>5</v>
      </c>
      <c r="B7" s="7">
        <f>COUNTA(Anchor_Core_Set!$A$2:$A$68)</f>
        <v>67</v>
      </c>
      <c r="C7" s="2" t="s">
        <v>6</v>
      </c>
    </row>
    <row r="8" ht="15" customHeight="1" spans="1:3" x14ac:dyDescent="0.25">
      <c r="A8" s="4" t="s">
        <v>7</v>
      </c>
      <c r="B8" s="7">
        <f>COUNTIF(Anchor_Core_Set!$T$2:$T$68,"none")</f>
        <v>58</v>
      </c>
      <c r="C8" s="2" t="s">
        <v>8</v>
      </c>
    </row>
    <row r="9" ht="15" customHeight="1" spans="1:3" x14ac:dyDescent="0.25">
      <c r="A9" s="4" t="s">
        <v>9</v>
      </c>
      <c r="B9" s="7">
        <f>SUMPRODUCT(--ISNUMBER(SEARCH("BLOCKING",Anchor_Core_Set!$T$2:$T$68)))</f>
        <v>3</v>
      </c>
      <c r="C9" s="2" t="s">
        <v>10</v>
      </c>
    </row>
    <row r="10" ht="15" customHeight="1" spans="1:3" x14ac:dyDescent="0.25">
      <c r="A10" s="4" t="s">
        <v>11</v>
      </c>
      <c r="B10" s="7">
        <f>COUNTIF(Anchor_Core_Set!$V$2:$V$68,"interval_on_file")</f>
        <v>31</v>
      </c>
      <c r="C10" s="2" t="s">
        <v>12</v>
      </c>
    </row>
    <row r="11" ht="15" customHeight="1" spans="1:3" x14ac:dyDescent="0.25">
      <c r="A11" s="4" t="s">
        <v>13</v>
      </c>
      <c r="B11" s="7">
        <f>COUNTIF(Anchor_Core_Set!$V$2:$V$68,"no_interval_abstain")</f>
        <v>36</v>
      </c>
      <c r="C11" s="2" t="s">
        <v>14</v>
      </c>
    </row>
    <row r="12" ht="15" customHeight="1" spans="1:3" x14ac:dyDescent="0.25">
      <c r="A12" s="4" t="s">
        <v>15</v>
      </c>
      <c r="B12" s="7">
        <f>COUNTA(Reference_Intervals!$A$2:$A$99)</f>
        <v>98</v>
      </c>
      <c r="C12" s="2" t="s">
        <v>16</v>
      </c>
    </row>
    <row r="13" ht="15" customHeight="1" spans="1:3" x14ac:dyDescent="0.25">
      <c r="A13" s="4" t="s">
        <v>17</v>
      </c>
      <c r="B13" s="7">
        <f>COUNTA(Region_Enum!$A$2:$A$26)</f>
        <v>25</v>
      </c>
      <c r="C13" s="2" t="s">
        <v>18</v>
      </c>
    </row>
    <row r="14" ht="15" customHeight="1" spans="1:3" x14ac:dyDescent="0.25">
      <c r="A14" s="4" t="s">
        <v>19</v>
      </c>
      <c r="B14" s="7">
        <f>COUNTIF(Anchor_Core_Set!$F$2:$F$68,"UNVERIFIED")</f>
        <v>67</v>
      </c>
      <c r="C14" s="2" t="s">
        <v>20</v>
      </c>
    </row>
    <row r="15" ht="15" customHeight="1" spans="1:3" x14ac:dyDescent="0.25">
      <c r="A15" s="4" t="s">
        <v>21</v>
      </c>
      <c r="B15" s="7">
        <f>COUNTIF(Data_Quality_Findings!$G$2:$G$17,"OPEN")</f>
        <v>9</v>
      </c>
      <c r="C15" s="2" t="s">
        <v>22</v>
      </c>
    </row>
    <row r="17" ht="15" customHeight="1" spans="1:3" x14ac:dyDescent="0.25">
      <c r="A17" s="5" t="s">
        <v>23</v>
      </c>
      <c r="B17" s="6"/>
      <c r="C17" s="6"/>
    </row>
    <row r="18" ht="23.85" customHeight="1" spans="1:3" x14ac:dyDescent="0.25">
      <c r="A18" s="3" t="s">
        <v>24</v>
      </c>
      <c r="B18" s="4" t="s">
        <v>25</v>
      </c>
      <c r="C18" s="8" t="s">
        <v>26</v>
      </c>
    </row>
    <row r="19" ht="23.85" customHeight="1" spans="1:3" x14ac:dyDescent="0.25">
      <c r="A19" s="3" t="s">
        <v>27</v>
      </c>
      <c r="B19" s="4" t="s">
        <v>28</v>
      </c>
      <c r="C19" s="8" t="s">
        <v>29</v>
      </c>
    </row>
    <row r="20" ht="15" customHeight="1" spans="1:3" x14ac:dyDescent="0.25">
      <c r="A20" s="3" t="s">
        <v>30</v>
      </c>
      <c r="B20" s="4" t="s">
        <v>31</v>
      </c>
      <c r="C20" s="8" t="s">
        <v>32</v>
      </c>
    </row>
    <row r="21" ht="23.85" customHeight="1" spans="1:3" x14ac:dyDescent="0.25">
      <c r="A21" s="3" t="s">
        <v>33</v>
      </c>
      <c r="B21" s="4" t="s">
        <v>34</v>
      </c>
      <c r="C21" s="8" t="s">
        <v>35</v>
      </c>
    </row>
    <row r="22" ht="15" customHeight="1" spans="1:3" x14ac:dyDescent="0.25">
      <c r="A22" s="3" t="s">
        <v>36</v>
      </c>
      <c r="B22" s="4" t="s">
        <v>37</v>
      </c>
      <c r="C22" s="8" t="s">
        <v>38</v>
      </c>
    </row>
    <row r="23" ht="15" customHeight="1" spans="1:3" x14ac:dyDescent="0.25">
      <c r="A23" s="3" t="s">
        <v>39</v>
      </c>
      <c r="B23" s="4" t="s">
        <v>40</v>
      </c>
      <c r="C23" s="8" t="s">
        <v>41</v>
      </c>
    </row>
    <row r="24" ht="15" customHeight="1" spans="1:3" x14ac:dyDescent="0.25">
      <c r="A24" s="3" t="s">
        <v>42</v>
      </c>
      <c r="B24" s="4" t="s">
        <v>43</v>
      </c>
      <c r="C24" s="8" t="s">
        <v>44</v>
      </c>
    </row>
    <row r="25" ht="15" customHeight="1" spans="1:3" x14ac:dyDescent="0.25">
      <c r="A25" s="3" t="s">
        <v>45</v>
      </c>
      <c r="B25" s="4" t="s">
        <v>46</v>
      </c>
      <c r="C25" s="8" t="s">
        <v>47</v>
      </c>
    </row>
    <row r="26" ht="15" customHeight="1" spans="1:3" x14ac:dyDescent="0.25">
      <c r="A26" s="3" t="s">
        <v>48</v>
      </c>
      <c r="B26" s="4" t="s">
        <v>49</v>
      </c>
      <c r="C26" s="8" t="s">
        <v>50</v>
      </c>
    </row>
    <row r="27" ht="15" customHeight="1" spans="1:3" x14ac:dyDescent="0.25">
      <c r="A27" s="3" t="s">
        <v>51</v>
      </c>
      <c r="B27" s="4" t="s">
        <v>52</v>
      </c>
      <c r="C27" s="8" t="s">
        <v>53</v>
      </c>
    </row>
    <row r="29" ht="15" customHeight="1" spans="1:3" x14ac:dyDescent="0.25">
      <c r="A29" s="5" t="s">
        <v>54</v>
      </c>
      <c r="B29" s="6"/>
      <c r="C29" s="6"/>
    </row>
    <row r="30" ht="23.85" customHeight="1" spans="1:3" x14ac:dyDescent="0.25">
      <c r="A30" s="3" t="s">
        <v>33</v>
      </c>
      <c r="B30" s="8" t="s">
        <v>55</v>
      </c>
      <c r="C30" s="8" t="s">
        <v>56</v>
      </c>
    </row>
    <row r="31" ht="23.85" customHeight="1" spans="1:3" x14ac:dyDescent="0.25">
      <c r="A31" s="3" t="s">
        <v>57</v>
      </c>
      <c r="B31" s="8" t="s">
        <v>58</v>
      </c>
      <c r="C31" s="8" t="s">
        <v>59</v>
      </c>
    </row>
    <row r="32" ht="68.65" customHeight="1" spans="1:3" x14ac:dyDescent="0.25">
      <c r="A32" s="3" t="s">
        <v>60</v>
      </c>
      <c r="B32" s="8" t="s">
        <v>61</v>
      </c>
      <c r="C32" s="8" t="s">
        <v>62</v>
      </c>
    </row>
    <row r="33" ht="15" customHeight="1" spans="1:3" x14ac:dyDescent="0.25">
      <c r="A33" s="3" t="s">
        <v>63</v>
      </c>
      <c r="B33" s="8" t="s">
        <v>64</v>
      </c>
      <c r="C33" s="8" t="s">
        <v>65</v>
      </c>
    </row>
    <row r="34" ht="15" customHeight="1" spans="1:3" x14ac:dyDescent="0.25">
      <c r="A34" s="3" t="s">
        <v>66</v>
      </c>
      <c r="B34" s="8" t="s">
        <v>67</v>
      </c>
      <c r="C34" s="8" t="s">
        <v>68</v>
      </c>
    </row>
    <row r="36" ht="15" customHeight="1" spans="1:1" x14ac:dyDescent="0.25">
      <c r="A36" s="3" t="s">
        <v>69</v>
      </c>
    </row>
    <row r="37" ht="15" customHeight="1" spans="1:3" x14ac:dyDescent="0.25">
      <c r="A37" s="4" t="s">
        <v>70</v>
      </c>
      <c r="C37" s="2" t="s">
        <v>71</v>
      </c>
    </row>
    <row r="38" ht="15" customHeight="1" spans="1:3" x14ac:dyDescent="0.25">
      <c r="A38" s="4" t="s">
        <v>72</v>
      </c>
      <c r="C38" s="2" t="s">
        <v>73</v>
      </c>
    </row>
    <row r="39" ht="15" customHeight="1" spans="1:3" x14ac:dyDescent="0.25">
      <c r="A39" s="4" t="s">
        <v>74</v>
      </c>
      <c r="C39" s="2" t="s">
        <v>75</v>
      </c>
    </row>
    <row r="40" ht="15" customHeight="1" spans="1:3" x14ac:dyDescent="0.25">
      <c r="A40" s="4" t="s">
        <v>76</v>
      </c>
      <c r="C40" s="2" t="s">
        <v>77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3" customWidth="1"/>
    <col min="2" max="2" width="30" customWidth="1"/>
    <col min="3" max="3" width="11" customWidth="1"/>
    <col min="4" max="4" width="46" customWidth="1"/>
    <col min="5" max="5" width="12" customWidth="1"/>
    <col min="6" max="6" width="19" customWidth="1"/>
    <col min="7" max="7" width="14" customWidth="1"/>
    <col min="8" max="8" width="13" customWidth="1"/>
    <col min="9" max="9" width="40" customWidth="1"/>
    <col min="10" max="10" width="26" customWidth="1"/>
    <col min="11" max="11" width="30" customWidth="1"/>
    <col min="12" max="12" width="18" customWidth="1"/>
    <col min="13" max="13" width="22" customWidth="1"/>
    <col min="14" max="14" width="13" customWidth="1"/>
    <col min="15" max="15" width="26" customWidth="1"/>
    <col min="16" max="16" width="24" customWidth="1"/>
    <col min="17" max="17" width="14" customWidth="1"/>
    <col min="18" max="18" width="46" customWidth="1"/>
    <col min="19" max="19" width="30" customWidth="1"/>
    <col min="20" max="20" width="44" customWidth="1"/>
    <col min="21" max="21" width="14" customWidth="1"/>
    <col min="22" max="22" width="22" customWidth="1"/>
  </cols>
  <sheetData>
    <row r="1" ht="30" customHeight="1" spans="1:22" x14ac:dyDescent="0.25">
      <c r="A1" s="9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  <c r="N1" s="9" t="s">
        <v>91</v>
      </c>
      <c r="O1" s="9" t="s">
        <v>92</v>
      </c>
      <c r="P1" s="9" t="s">
        <v>93</v>
      </c>
      <c r="Q1" s="9" t="s">
        <v>94</v>
      </c>
      <c r="R1" s="9" t="s">
        <v>95</v>
      </c>
      <c r="S1" s="9" t="s">
        <v>96</v>
      </c>
      <c r="T1" s="9" t="s">
        <v>97</v>
      </c>
      <c r="U1" s="9" t="s">
        <v>98</v>
      </c>
      <c r="V1" s="9" t="s">
        <v>99</v>
      </c>
    </row>
    <row r="2" ht="15" customHeight="1" spans="1:22" x14ac:dyDescent="0.25">
      <c r="A2" s="10" t="s">
        <v>100</v>
      </c>
      <c r="B2" s="10" t="s">
        <v>101</v>
      </c>
      <c r="C2" s="10" t="s">
        <v>102</v>
      </c>
      <c r="D2" s="11" t="s">
        <v>103</v>
      </c>
      <c r="E2" s="10" t="s">
        <v>104</v>
      </c>
      <c r="F2" s="10" t="s">
        <v>76</v>
      </c>
      <c r="G2" s="10" t="s">
        <v>105</v>
      </c>
      <c r="H2" s="10" t="s">
        <v>106</v>
      </c>
      <c r="I2" s="11"/>
      <c r="J2" s="10" t="s">
        <v>107</v>
      </c>
      <c r="K2" s="10" t="s">
        <v>108</v>
      </c>
      <c r="L2" s="10" t="s">
        <v>109</v>
      </c>
      <c r="M2" s="10" t="s">
        <v>110</v>
      </c>
      <c r="N2" s="10" t="s">
        <v>111</v>
      </c>
      <c r="O2" s="10"/>
      <c r="P2" s="10" t="s">
        <v>112</v>
      </c>
      <c r="Q2" s="10">
        <v>3</v>
      </c>
      <c r="R2" s="11"/>
      <c r="S2" s="10"/>
      <c r="T2" s="12" t="s">
        <v>74</v>
      </c>
      <c r="U2" s="13">
        <f>COUNTIF(Reference_Intervals!$B$2:$B$99,$A2)</f>
        <v>2</v>
      </c>
      <c r="V2" s="13" t="str">
        <f>IF(U2&gt;0,"interval_on_file","no_interval_abstain")</f>
        <v>interval_on_file</v>
      </c>
    </row>
    <row r="3" ht="35.05" customHeight="1" spans="1:22" x14ac:dyDescent="0.25">
      <c r="A3" s="10" t="s">
        <v>113</v>
      </c>
      <c r="B3" s="10" t="s">
        <v>114</v>
      </c>
      <c r="C3" s="10" t="s">
        <v>115</v>
      </c>
      <c r="D3" s="11" t="s">
        <v>116</v>
      </c>
      <c r="E3" s="10" t="s">
        <v>104</v>
      </c>
      <c r="F3" s="10" t="s">
        <v>76</v>
      </c>
      <c r="G3" s="10" t="s">
        <v>117</v>
      </c>
      <c r="H3" s="10" t="s">
        <v>118</v>
      </c>
      <c r="I3" s="11"/>
      <c r="J3" s="10" t="s">
        <v>107</v>
      </c>
      <c r="K3" s="10" t="s">
        <v>108</v>
      </c>
      <c r="L3" s="10" t="s">
        <v>109</v>
      </c>
      <c r="M3" s="10" t="s">
        <v>119</v>
      </c>
      <c r="N3" s="10" t="s">
        <v>120</v>
      </c>
      <c r="O3" s="10"/>
      <c r="P3" s="10" t="s">
        <v>121</v>
      </c>
      <c r="Q3" s="10">
        <v>2</v>
      </c>
      <c r="R3" s="11" t="s">
        <v>122</v>
      </c>
      <c r="S3" s="10" t="s">
        <v>123</v>
      </c>
      <c r="T3" s="12" t="s">
        <v>74</v>
      </c>
      <c r="U3" s="13">
        <f>COUNTIF(Reference_Intervals!$B$2:$B$99,$A3)</f>
        <v>0</v>
      </c>
      <c r="V3" s="13" t="str">
        <f>IF(U3&gt;0,"interval_on_file","no_interval_abstain")</f>
        <v>no_interval_abstain</v>
      </c>
    </row>
    <row r="4" ht="35.05" customHeight="1" spans="1:22" x14ac:dyDescent="0.25">
      <c r="A4" s="10" t="s">
        <v>124</v>
      </c>
      <c r="B4" s="10" t="s">
        <v>125</v>
      </c>
      <c r="C4" s="10" t="s">
        <v>126</v>
      </c>
      <c r="D4" s="11" t="s">
        <v>127</v>
      </c>
      <c r="E4" s="10" t="s">
        <v>104</v>
      </c>
      <c r="F4" s="10" t="s">
        <v>76</v>
      </c>
      <c r="G4" s="10" t="s">
        <v>128</v>
      </c>
      <c r="H4" s="10" t="s">
        <v>129</v>
      </c>
      <c r="I4" s="11"/>
      <c r="J4" s="10" t="s">
        <v>130</v>
      </c>
      <c r="K4" s="10" t="s">
        <v>131</v>
      </c>
      <c r="L4" s="10" t="s">
        <v>109</v>
      </c>
      <c r="M4" s="10" t="s">
        <v>119</v>
      </c>
      <c r="N4" s="10" t="s">
        <v>120</v>
      </c>
      <c r="O4" s="10"/>
      <c r="P4" s="10" t="s">
        <v>132</v>
      </c>
      <c r="Q4" s="10">
        <v>2</v>
      </c>
      <c r="R4" s="11" t="s">
        <v>133</v>
      </c>
      <c r="S4" s="10" t="s">
        <v>134</v>
      </c>
      <c r="T4" s="12" t="s">
        <v>74</v>
      </c>
      <c r="U4" s="13">
        <f>COUNTIF(Reference_Intervals!$B$2:$B$99,$A4)</f>
        <v>0</v>
      </c>
      <c r="V4" s="13" t="str">
        <f>IF(U4&gt;0,"interval_on_file","no_interval_abstain")</f>
        <v>no_interval_abstain</v>
      </c>
    </row>
    <row r="5" ht="23.85" customHeight="1" spans="1:22" x14ac:dyDescent="0.25">
      <c r="A5" s="10" t="s">
        <v>135</v>
      </c>
      <c r="B5" s="10" t="s">
        <v>136</v>
      </c>
      <c r="C5" s="10" t="s">
        <v>137</v>
      </c>
      <c r="D5" s="11" t="s">
        <v>138</v>
      </c>
      <c r="E5" s="10" t="s">
        <v>104</v>
      </c>
      <c r="F5" s="10" t="s">
        <v>76</v>
      </c>
      <c r="G5" s="10" t="s">
        <v>139</v>
      </c>
      <c r="H5" s="10" t="s">
        <v>140</v>
      </c>
      <c r="I5" s="11" t="s">
        <v>141</v>
      </c>
      <c r="J5" s="10" t="s">
        <v>142</v>
      </c>
      <c r="K5" s="10" t="s">
        <v>131</v>
      </c>
      <c r="L5" s="10" t="s">
        <v>109</v>
      </c>
      <c r="M5" s="10" t="s">
        <v>110</v>
      </c>
      <c r="N5" s="10" t="s">
        <v>111</v>
      </c>
      <c r="O5" s="10"/>
      <c r="P5" s="10" t="s">
        <v>112</v>
      </c>
      <c r="Q5" s="10">
        <v>3</v>
      </c>
      <c r="R5" s="11"/>
      <c r="S5" s="10"/>
      <c r="T5" s="14" t="s">
        <v>143</v>
      </c>
      <c r="U5" s="13">
        <f>COUNTIF(Reference_Intervals!$B$2:$B$99,$A5)</f>
        <v>1</v>
      </c>
      <c r="V5" s="13" t="str">
        <f>IF(U5&gt;0,"interval_on_file","no_interval_abstain")</f>
        <v>interval_on_file</v>
      </c>
    </row>
    <row r="6" ht="15" customHeight="1" spans="1:22" x14ac:dyDescent="0.25">
      <c r="A6" s="10" t="s">
        <v>144</v>
      </c>
      <c r="B6" s="10" t="s">
        <v>145</v>
      </c>
      <c r="C6" s="10" t="s">
        <v>146</v>
      </c>
      <c r="D6" s="11" t="s">
        <v>147</v>
      </c>
      <c r="E6" s="10" t="s">
        <v>104</v>
      </c>
      <c r="F6" s="10" t="s">
        <v>76</v>
      </c>
      <c r="G6" s="10" t="s">
        <v>148</v>
      </c>
      <c r="H6" s="10" t="s">
        <v>149</v>
      </c>
      <c r="I6" s="11"/>
      <c r="J6" s="10" t="s">
        <v>150</v>
      </c>
      <c r="K6" s="10" t="s">
        <v>151</v>
      </c>
      <c r="L6" s="10" t="s">
        <v>109</v>
      </c>
      <c r="M6" s="10" t="s">
        <v>110</v>
      </c>
      <c r="N6" s="10" t="s">
        <v>111</v>
      </c>
      <c r="O6" s="10"/>
      <c r="P6" s="10" t="s">
        <v>112</v>
      </c>
      <c r="Q6" s="10">
        <v>3</v>
      </c>
      <c r="R6" s="11"/>
      <c r="S6" s="10"/>
      <c r="T6" s="12" t="s">
        <v>74</v>
      </c>
      <c r="U6" s="13">
        <f>COUNTIF(Reference_Intervals!$B$2:$B$99,$A6)</f>
        <v>1</v>
      </c>
      <c r="V6" s="13" t="str">
        <f>IF(U6&gt;0,"interval_on_file","no_interval_abstain")</f>
        <v>interval_on_file</v>
      </c>
    </row>
    <row r="7" ht="23.85" customHeight="1" spans="1:22" x14ac:dyDescent="0.25">
      <c r="A7" s="10" t="s">
        <v>152</v>
      </c>
      <c r="B7" s="10" t="s">
        <v>153</v>
      </c>
      <c r="C7" s="10" t="s">
        <v>154</v>
      </c>
      <c r="D7" s="11" t="s">
        <v>155</v>
      </c>
      <c r="E7" s="10" t="s">
        <v>104</v>
      </c>
      <c r="F7" s="10" t="s">
        <v>76</v>
      </c>
      <c r="G7" s="10" t="s">
        <v>156</v>
      </c>
      <c r="H7" s="10" t="s">
        <v>157</v>
      </c>
      <c r="I7" s="11" t="s">
        <v>141</v>
      </c>
      <c r="J7" s="10" t="s">
        <v>158</v>
      </c>
      <c r="K7" s="10" t="s">
        <v>159</v>
      </c>
      <c r="L7" s="10" t="s">
        <v>109</v>
      </c>
      <c r="M7" s="10" t="s">
        <v>119</v>
      </c>
      <c r="N7" s="10" t="s">
        <v>120</v>
      </c>
      <c r="O7" s="10"/>
      <c r="P7" s="10" t="s">
        <v>160</v>
      </c>
      <c r="Q7" s="10">
        <v>2</v>
      </c>
      <c r="R7" s="11" t="s">
        <v>161</v>
      </c>
      <c r="S7" s="10" t="s">
        <v>162</v>
      </c>
      <c r="T7" s="12" t="s">
        <v>74</v>
      </c>
      <c r="U7" s="13">
        <f>COUNTIF(Reference_Intervals!$B$2:$B$99,$A7)</f>
        <v>1</v>
      </c>
      <c r="V7" s="13" t="str">
        <f>IF(U7&gt;0,"interval_on_file","no_interval_abstain")</f>
        <v>interval_on_file</v>
      </c>
    </row>
    <row r="8" ht="15" customHeight="1" spans="1:22" x14ac:dyDescent="0.25">
      <c r="A8" s="10" t="s">
        <v>163</v>
      </c>
      <c r="B8" s="10" t="s">
        <v>164</v>
      </c>
      <c r="C8" s="10" t="s">
        <v>165</v>
      </c>
      <c r="D8" s="11" t="s">
        <v>166</v>
      </c>
      <c r="E8" s="10" t="s">
        <v>104</v>
      </c>
      <c r="F8" s="10" t="s">
        <v>76</v>
      </c>
      <c r="G8" s="10" t="s">
        <v>167</v>
      </c>
      <c r="H8" s="10" t="s">
        <v>168</v>
      </c>
      <c r="I8" s="11"/>
      <c r="J8" s="10" t="s">
        <v>169</v>
      </c>
      <c r="K8" s="10" t="s">
        <v>170</v>
      </c>
      <c r="L8" s="10" t="s">
        <v>109</v>
      </c>
      <c r="M8" s="10" t="s">
        <v>110</v>
      </c>
      <c r="N8" s="10" t="s">
        <v>111</v>
      </c>
      <c r="O8" s="10"/>
      <c r="P8" s="10" t="s">
        <v>112</v>
      </c>
      <c r="Q8" s="10">
        <v>3</v>
      </c>
      <c r="R8" s="11"/>
      <c r="S8" s="10"/>
      <c r="T8" s="12" t="s">
        <v>74</v>
      </c>
      <c r="U8" s="13">
        <f>COUNTIF(Reference_Intervals!$B$2:$B$99,$A8)</f>
        <v>1</v>
      </c>
      <c r="V8" s="13" t="str">
        <f>IF(U8&gt;0,"interval_on_file","no_interval_abstain")</f>
        <v>interval_on_file</v>
      </c>
    </row>
    <row r="9" ht="15" customHeight="1" spans="1:22" x14ac:dyDescent="0.25">
      <c r="A9" s="10" t="s">
        <v>171</v>
      </c>
      <c r="B9" s="10" t="s">
        <v>172</v>
      </c>
      <c r="C9" s="10" t="s">
        <v>173</v>
      </c>
      <c r="D9" s="11" t="s">
        <v>174</v>
      </c>
      <c r="E9" s="10" t="s">
        <v>104</v>
      </c>
      <c r="F9" s="10" t="s">
        <v>76</v>
      </c>
      <c r="G9" s="10" t="s">
        <v>117</v>
      </c>
      <c r="H9" s="10" t="s">
        <v>118</v>
      </c>
      <c r="I9" s="11"/>
      <c r="J9" s="10" t="s">
        <v>175</v>
      </c>
      <c r="K9" s="10" t="s">
        <v>176</v>
      </c>
      <c r="L9" s="10" t="s">
        <v>109</v>
      </c>
      <c r="M9" s="10" t="s">
        <v>110</v>
      </c>
      <c r="N9" s="10" t="s">
        <v>111</v>
      </c>
      <c r="O9" s="10"/>
      <c r="P9" s="10" t="s">
        <v>112</v>
      </c>
      <c r="Q9" s="10">
        <v>3</v>
      </c>
      <c r="R9" s="11"/>
      <c r="S9" s="10"/>
      <c r="T9" s="12" t="s">
        <v>74</v>
      </c>
      <c r="U9" s="13">
        <f>COUNTIF(Reference_Intervals!$B$2:$B$99,$A9)</f>
        <v>2</v>
      </c>
      <c r="V9" s="13" t="str">
        <f>IF(U9&gt;0,"interval_on_file","no_interval_abstain")</f>
        <v>interval_on_file</v>
      </c>
    </row>
    <row r="10" ht="35.05" customHeight="1" spans="1:22" x14ac:dyDescent="0.25">
      <c r="A10" s="10" t="s">
        <v>177</v>
      </c>
      <c r="B10" s="10" t="s">
        <v>178</v>
      </c>
      <c r="C10" s="10" t="s">
        <v>179</v>
      </c>
      <c r="D10" s="11" t="s">
        <v>180</v>
      </c>
      <c r="E10" s="10" t="s">
        <v>104</v>
      </c>
      <c r="F10" s="10" t="s">
        <v>76</v>
      </c>
      <c r="G10" s="10" t="s">
        <v>181</v>
      </c>
      <c r="H10" s="10" t="s">
        <v>182</v>
      </c>
      <c r="I10" s="11"/>
      <c r="J10" s="10" t="s">
        <v>183</v>
      </c>
      <c r="K10" s="10" t="s">
        <v>184</v>
      </c>
      <c r="L10" s="10" t="s">
        <v>109</v>
      </c>
      <c r="M10" s="10" t="s">
        <v>119</v>
      </c>
      <c r="N10" s="10" t="s">
        <v>120</v>
      </c>
      <c r="O10" s="10"/>
      <c r="P10" s="10" t="s">
        <v>121</v>
      </c>
      <c r="Q10" s="10">
        <v>2</v>
      </c>
      <c r="R10" s="11" t="s">
        <v>185</v>
      </c>
      <c r="S10" s="10" t="s">
        <v>186</v>
      </c>
      <c r="T10" s="12" t="s">
        <v>74</v>
      </c>
      <c r="U10" s="13">
        <f>COUNTIF(Reference_Intervals!$B$2:$B$99,$A10)</f>
        <v>0</v>
      </c>
      <c r="V10" s="13" t="str">
        <f>IF(U10&gt;0,"interval_on_file","no_interval_abstain")</f>
        <v>no_interval_abstain</v>
      </c>
    </row>
    <row r="11" ht="23.85" customHeight="1" spans="1:22" x14ac:dyDescent="0.25">
      <c r="A11" s="10" t="s">
        <v>187</v>
      </c>
      <c r="B11" s="10" t="s">
        <v>188</v>
      </c>
      <c r="C11" s="10" t="s">
        <v>189</v>
      </c>
      <c r="D11" s="11" t="s">
        <v>190</v>
      </c>
      <c r="E11" s="10" t="s">
        <v>104</v>
      </c>
      <c r="F11" s="10" t="s">
        <v>76</v>
      </c>
      <c r="G11" s="10" t="s">
        <v>191</v>
      </c>
      <c r="H11" s="10" t="s">
        <v>192</v>
      </c>
      <c r="I11" s="11"/>
      <c r="J11" s="10" t="s">
        <v>193</v>
      </c>
      <c r="K11" s="10" t="s">
        <v>194</v>
      </c>
      <c r="L11" s="10" t="s">
        <v>109</v>
      </c>
      <c r="M11" s="10" t="s">
        <v>110</v>
      </c>
      <c r="N11" s="10" t="s">
        <v>111</v>
      </c>
      <c r="O11" s="10"/>
      <c r="P11" s="10" t="s">
        <v>112</v>
      </c>
      <c r="Q11" s="10">
        <v>3</v>
      </c>
      <c r="R11" s="11"/>
      <c r="S11" s="10"/>
      <c r="T11" s="12" t="s">
        <v>74</v>
      </c>
      <c r="U11" s="13">
        <f>COUNTIF(Reference_Intervals!$B$2:$B$99,$A11)</f>
        <v>1</v>
      </c>
      <c r="V11" s="13" t="str">
        <f>IF(U11&gt;0,"interval_on_file","no_interval_abstain")</f>
        <v>interval_on_file</v>
      </c>
    </row>
    <row r="12" ht="23.85" customHeight="1" spans="1:22" x14ac:dyDescent="0.25">
      <c r="A12" s="10" t="s">
        <v>195</v>
      </c>
      <c r="B12" s="10" t="s">
        <v>196</v>
      </c>
      <c r="C12" s="10" t="s">
        <v>197</v>
      </c>
      <c r="D12" s="11" t="s">
        <v>198</v>
      </c>
      <c r="E12" s="10" t="s">
        <v>104</v>
      </c>
      <c r="F12" s="10" t="s">
        <v>76</v>
      </c>
      <c r="G12" s="10" t="s">
        <v>117</v>
      </c>
      <c r="H12" s="10" t="s">
        <v>118</v>
      </c>
      <c r="I12" s="11"/>
      <c r="J12" s="10" t="s">
        <v>199</v>
      </c>
      <c r="K12" s="10" t="s">
        <v>176</v>
      </c>
      <c r="L12" s="10" t="s">
        <v>109</v>
      </c>
      <c r="M12" s="10" t="s">
        <v>110</v>
      </c>
      <c r="N12" s="10" t="s">
        <v>111</v>
      </c>
      <c r="O12" s="10"/>
      <c r="P12" s="10" t="s">
        <v>112</v>
      </c>
      <c r="Q12" s="10">
        <v>3</v>
      </c>
      <c r="R12" s="11"/>
      <c r="S12" s="10"/>
      <c r="T12" s="12" t="s">
        <v>74</v>
      </c>
      <c r="U12" s="13">
        <f>COUNTIF(Reference_Intervals!$B$2:$B$99,$A12)</f>
        <v>3</v>
      </c>
      <c r="V12" s="13" t="str">
        <f>IF(U12&gt;0,"interval_on_file","no_interval_abstain")</f>
        <v>interval_on_file</v>
      </c>
    </row>
    <row r="13" ht="15" customHeight="1" spans="1:22" x14ac:dyDescent="0.25">
      <c r="A13" s="10" t="s">
        <v>200</v>
      </c>
      <c r="B13" s="10" t="s">
        <v>201</v>
      </c>
      <c r="C13" s="10" t="s">
        <v>202</v>
      </c>
      <c r="D13" s="11" t="s">
        <v>203</v>
      </c>
      <c r="E13" s="10" t="s">
        <v>104</v>
      </c>
      <c r="F13" s="10" t="s">
        <v>76</v>
      </c>
      <c r="G13" s="10" t="s">
        <v>117</v>
      </c>
      <c r="H13" s="10" t="s">
        <v>118</v>
      </c>
      <c r="I13" s="11"/>
      <c r="J13" s="10" t="s">
        <v>204</v>
      </c>
      <c r="K13" s="10" t="s">
        <v>205</v>
      </c>
      <c r="L13" s="10" t="s">
        <v>109</v>
      </c>
      <c r="M13" s="10" t="s">
        <v>110</v>
      </c>
      <c r="N13" s="10" t="s">
        <v>111</v>
      </c>
      <c r="O13" s="10"/>
      <c r="P13" s="10" t="s">
        <v>112</v>
      </c>
      <c r="Q13" s="10">
        <v>3</v>
      </c>
      <c r="R13" s="11"/>
      <c r="S13" s="10"/>
      <c r="T13" s="12" t="s">
        <v>74</v>
      </c>
      <c r="U13" s="13">
        <f>COUNTIF(Reference_Intervals!$B$2:$B$99,$A13)</f>
        <v>2</v>
      </c>
      <c r="V13" s="13" t="str">
        <f>IF(U13&gt;0,"interval_on_file","no_interval_abstain")</f>
        <v>interval_on_file</v>
      </c>
    </row>
    <row r="14" ht="15" customHeight="1" spans="1:22" x14ac:dyDescent="0.25">
      <c r="A14" s="10" t="s">
        <v>206</v>
      </c>
      <c r="B14" s="10" t="s">
        <v>207</v>
      </c>
      <c r="C14" s="10" t="s">
        <v>208</v>
      </c>
      <c r="D14" s="11" t="s">
        <v>209</v>
      </c>
      <c r="E14" s="10" t="s">
        <v>104</v>
      </c>
      <c r="F14" s="10" t="s">
        <v>76</v>
      </c>
      <c r="G14" s="10" t="s">
        <v>117</v>
      </c>
      <c r="H14" s="10" t="s">
        <v>118</v>
      </c>
      <c r="I14" s="11"/>
      <c r="J14" s="10" t="s">
        <v>130</v>
      </c>
      <c r="K14" s="10" t="s">
        <v>131</v>
      </c>
      <c r="L14" s="10" t="s">
        <v>109</v>
      </c>
      <c r="M14" s="10" t="s">
        <v>110</v>
      </c>
      <c r="N14" s="10" t="s">
        <v>111</v>
      </c>
      <c r="O14" s="10"/>
      <c r="P14" s="10" t="s">
        <v>112</v>
      </c>
      <c r="Q14" s="10">
        <v>3</v>
      </c>
      <c r="R14" s="11"/>
      <c r="S14" s="10"/>
      <c r="T14" s="12" t="s">
        <v>74</v>
      </c>
      <c r="U14" s="13">
        <f>COUNTIF(Reference_Intervals!$B$2:$B$99,$A14)</f>
        <v>1</v>
      </c>
      <c r="V14" s="13" t="str">
        <f>IF(U14&gt;0,"interval_on_file","no_interval_abstain")</f>
        <v>interval_on_file</v>
      </c>
    </row>
    <row r="15" ht="23.85" customHeight="1" spans="1:22" x14ac:dyDescent="0.25">
      <c r="A15" s="10" t="s">
        <v>210</v>
      </c>
      <c r="B15" s="10" t="s">
        <v>211</v>
      </c>
      <c r="C15" s="10" t="s">
        <v>212</v>
      </c>
      <c r="D15" s="11" t="s">
        <v>213</v>
      </c>
      <c r="E15" s="10" t="s">
        <v>104</v>
      </c>
      <c r="F15" s="10" t="s">
        <v>76</v>
      </c>
      <c r="G15" s="10" t="s">
        <v>214</v>
      </c>
      <c r="H15" s="10" t="s">
        <v>215</v>
      </c>
      <c r="I15" s="11"/>
      <c r="J15" s="10" t="s">
        <v>216</v>
      </c>
      <c r="K15" s="10" t="s">
        <v>217</v>
      </c>
      <c r="L15" s="10" t="s">
        <v>109</v>
      </c>
      <c r="M15" s="10" t="s">
        <v>110</v>
      </c>
      <c r="N15" s="10" t="s">
        <v>111</v>
      </c>
      <c r="O15" s="10"/>
      <c r="P15" s="10" t="s">
        <v>112</v>
      </c>
      <c r="Q15" s="10">
        <v>3</v>
      </c>
      <c r="R15" s="11"/>
      <c r="S15" s="10"/>
      <c r="T15" s="12" t="s">
        <v>74</v>
      </c>
      <c r="U15" s="13">
        <f>COUNTIF(Reference_Intervals!$B$2:$B$99,$A15)</f>
        <v>1</v>
      </c>
      <c r="V15" s="13" t="str">
        <f>IF(U15&gt;0,"interval_on_file","no_interval_abstain")</f>
        <v>interval_on_file</v>
      </c>
    </row>
    <row r="16" ht="15" customHeight="1" spans="1:22" x14ac:dyDescent="0.25">
      <c r="A16" s="10" t="s">
        <v>218</v>
      </c>
      <c r="B16" s="10" t="s">
        <v>219</v>
      </c>
      <c r="C16" s="10" t="s">
        <v>220</v>
      </c>
      <c r="D16" s="11" t="s">
        <v>221</v>
      </c>
      <c r="E16" s="10" t="s">
        <v>104</v>
      </c>
      <c r="F16" s="10" t="s">
        <v>76</v>
      </c>
      <c r="G16" s="10" t="s">
        <v>214</v>
      </c>
      <c r="H16" s="10" t="s">
        <v>215</v>
      </c>
      <c r="I16" s="11"/>
      <c r="J16" s="10" t="s">
        <v>216</v>
      </c>
      <c r="K16" s="10" t="s">
        <v>217</v>
      </c>
      <c r="L16" s="10" t="s">
        <v>109</v>
      </c>
      <c r="M16" s="10" t="s">
        <v>110</v>
      </c>
      <c r="N16" s="10" t="s">
        <v>111</v>
      </c>
      <c r="O16" s="10"/>
      <c r="P16" s="10" t="s">
        <v>112</v>
      </c>
      <c r="Q16" s="10">
        <v>3</v>
      </c>
      <c r="R16" s="11"/>
      <c r="S16" s="10"/>
      <c r="T16" s="12" t="s">
        <v>74</v>
      </c>
      <c r="U16" s="13">
        <f>COUNTIF(Reference_Intervals!$B$2:$B$99,$A16)</f>
        <v>1</v>
      </c>
      <c r="V16" s="13" t="str">
        <f>IF(U16&gt;0,"interval_on_file","no_interval_abstain")</f>
        <v>interval_on_file</v>
      </c>
    </row>
    <row r="17" ht="23.85" customHeight="1" spans="1:22" x14ac:dyDescent="0.25">
      <c r="A17" s="10" t="s">
        <v>222</v>
      </c>
      <c r="B17" s="10" t="s">
        <v>223</v>
      </c>
      <c r="C17" s="10" t="s">
        <v>224</v>
      </c>
      <c r="D17" s="11" t="s">
        <v>225</v>
      </c>
      <c r="E17" s="10" t="s">
        <v>104</v>
      </c>
      <c r="F17" s="10" t="s">
        <v>76</v>
      </c>
      <c r="G17" s="10" t="s">
        <v>181</v>
      </c>
      <c r="H17" s="10" t="s">
        <v>182</v>
      </c>
      <c r="I17" s="11"/>
      <c r="J17" s="10" t="s">
        <v>226</v>
      </c>
      <c r="K17" s="10" t="s">
        <v>227</v>
      </c>
      <c r="L17" s="10" t="s">
        <v>109</v>
      </c>
      <c r="M17" s="10" t="s">
        <v>119</v>
      </c>
      <c r="N17" s="10" t="s">
        <v>120</v>
      </c>
      <c r="O17" s="10"/>
      <c r="P17" s="10" t="s">
        <v>160</v>
      </c>
      <c r="Q17" s="10">
        <v>2</v>
      </c>
      <c r="R17" s="11" t="s">
        <v>228</v>
      </c>
      <c r="S17" s="10" t="s">
        <v>123</v>
      </c>
      <c r="T17" s="12" t="s">
        <v>74</v>
      </c>
      <c r="U17" s="13">
        <f>COUNTIF(Reference_Intervals!$B$2:$B$99,$A17)</f>
        <v>2</v>
      </c>
      <c r="V17" s="13" t="str">
        <f>IF(U17&gt;0,"interval_on_file","no_interval_abstain")</f>
        <v>interval_on_file</v>
      </c>
    </row>
    <row r="18" ht="23.85" customHeight="1" spans="1:22" x14ac:dyDescent="0.25">
      <c r="A18" s="10" t="s">
        <v>229</v>
      </c>
      <c r="B18" s="10" t="s">
        <v>230</v>
      </c>
      <c r="C18" s="10" t="s">
        <v>231</v>
      </c>
      <c r="D18" s="11" t="s">
        <v>232</v>
      </c>
      <c r="E18" s="10" t="s">
        <v>104</v>
      </c>
      <c r="F18" s="10" t="s">
        <v>76</v>
      </c>
      <c r="G18" s="10" t="s">
        <v>181</v>
      </c>
      <c r="H18" s="10" t="s">
        <v>182</v>
      </c>
      <c r="I18" s="11"/>
      <c r="J18" s="10" t="s">
        <v>233</v>
      </c>
      <c r="K18" s="10" t="s">
        <v>234</v>
      </c>
      <c r="L18" s="10" t="s">
        <v>109</v>
      </c>
      <c r="M18" s="10" t="s">
        <v>110</v>
      </c>
      <c r="N18" s="10" t="s">
        <v>111</v>
      </c>
      <c r="O18" s="10"/>
      <c r="P18" s="10" t="s">
        <v>112</v>
      </c>
      <c r="Q18" s="10">
        <v>3</v>
      </c>
      <c r="R18" s="11"/>
      <c r="S18" s="10"/>
      <c r="T18" s="12" t="s">
        <v>74</v>
      </c>
      <c r="U18" s="13">
        <f>COUNTIF(Reference_Intervals!$B$2:$B$99,$A18)</f>
        <v>2</v>
      </c>
      <c r="V18" s="13" t="str">
        <f>IF(U18&gt;0,"interval_on_file","no_interval_abstain")</f>
        <v>interval_on_file</v>
      </c>
    </row>
    <row r="19" ht="23.85" customHeight="1" spans="1:22" x14ac:dyDescent="0.25">
      <c r="A19" s="10" t="s">
        <v>235</v>
      </c>
      <c r="B19" s="10" t="s">
        <v>236</v>
      </c>
      <c r="C19" s="10" t="s">
        <v>237</v>
      </c>
      <c r="D19" s="11" t="s">
        <v>238</v>
      </c>
      <c r="E19" s="10" t="s">
        <v>104</v>
      </c>
      <c r="F19" s="10" t="s">
        <v>76</v>
      </c>
      <c r="G19" s="10" t="s">
        <v>239</v>
      </c>
      <c r="H19" s="10" t="s">
        <v>240</v>
      </c>
      <c r="I19" s="11"/>
      <c r="J19" s="10" t="s">
        <v>241</v>
      </c>
      <c r="K19" s="10" t="s">
        <v>242</v>
      </c>
      <c r="L19" s="10" t="s">
        <v>243</v>
      </c>
      <c r="M19" s="10" t="s">
        <v>119</v>
      </c>
      <c r="N19" s="10" t="s">
        <v>120</v>
      </c>
      <c r="O19" s="10"/>
      <c r="P19" s="10" t="s">
        <v>132</v>
      </c>
      <c r="Q19" s="10">
        <v>2</v>
      </c>
      <c r="R19" s="11" t="s">
        <v>244</v>
      </c>
      <c r="S19" s="10" t="s">
        <v>245</v>
      </c>
      <c r="T19" s="15" t="s">
        <v>246</v>
      </c>
      <c r="U19" s="13">
        <f>COUNTIF(Reference_Intervals!$B$2:$B$99,$A19)</f>
        <v>2</v>
      </c>
      <c r="V19" s="13" t="str">
        <f>IF(U19&gt;0,"interval_on_file","no_interval_abstain")</f>
        <v>interval_on_file</v>
      </c>
    </row>
    <row r="20" ht="15" customHeight="1" spans="1:22" x14ac:dyDescent="0.25">
      <c r="A20" s="10" t="s">
        <v>247</v>
      </c>
      <c r="B20" s="10" t="s">
        <v>248</v>
      </c>
      <c r="C20" s="10" t="s">
        <v>249</v>
      </c>
      <c r="D20" s="11" t="s">
        <v>250</v>
      </c>
      <c r="E20" s="10" t="s">
        <v>104</v>
      </c>
      <c r="F20" s="10" t="s">
        <v>76</v>
      </c>
      <c r="G20" s="10" t="s">
        <v>167</v>
      </c>
      <c r="H20" s="10" t="s">
        <v>168</v>
      </c>
      <c r="I20" s="11"/>
      <c r="J20" s="10" t="s">
        <v>251</v>
      </c>
      <c r="K20" s="10" t="s">
        <v>252</v>
      </c>
      <c r="L20" s="10" t="s">
        <v>243</v>
      </c>
      <c r="M20" s="10" t="s">
        <v>110</v>
      </c>
      <c r="N20" s="10" t="s">
        <v>111</v>
      </c>
      <c r="O20" s="10"/>
      <c r="P20" s="10" t="s">
        <v>112</v>
      </c>
      <c r="Q20" s="10">
        <v>3</v>
      </c>
      <c r="R20" s="11"/>
      <c r="S20" s="10"/>
      <c r="T20" s="15" t="s">
        <v>246</v>
      </c>
      <c r="U20" s="13">
        <f>COUNTIF(Reference_Intervals!$B$2:$B$99,$A20)</f>
        <v>1</v>
      </c>
      <c r="V20" s="13" t="str">
        <f>IF(U20&gt;0,"interval_on_file","no_interval_abstain")</f>
        <v>interval_on_file</v>
      </c>
    </row>
    <row r="21" ht="23.85" customHeight="1" spans="1:22" x14ac:dyDescent="0.25">
      <c r="A21" s="10" t="s">
        <v>253</v>
      </c>
      <c r="B21" s="10" t="s">
        <v>254</v>
      </c>
      <c r="C21" s="10" t="s">
        <v>255</v>
      </c>
      <c r="D21" s="11" t="s">
        <v>256</v>
      </c>
      <c r="E21" s="10" t="s">
        <v>104</v>
      </c>
      <c r="F21" s="10" t="s">
        <v>76</v>
      </c>
      <c r="G21" s="10" t="s">
        <v>181</v>
      </c>
      <c r="H21" s="10" t="s">
        <v>182</v>
      </c>
      <c r="I21" s="11"/>
      <c r="J21" s="10" t="s">
        <v>257</v>
      </c>
      <c r="K21" s="10" t="s">
        <v>258</v>
      </c>
      <c r="L21" s="10" t="s">
        <v>109</v>
      </c>
      <c r="M21" s="10" t="s">
        <v>110</v>
      </c>
      <c r="N21" s="10" t="s">
        <v>111</v>
      </c>
      <c r="O21" s="10"/>
      <c r="P21" s="10" t="s">
        <v>112</v>
      </c>
      <c r="Q21" s="10">
        <v>3</v>
      </c>
      <c r="R21" s="11"/>
      <c r="S21" s="10"/>
      <c r="T21" s="12" t="s">
        <v>74</v>
      </c>
      <c r="U21" s="13">
        <f>COUNTIF(Reference_Intervals!$B$2:$B$99,$A21)</f>
        <v>0</v>
      </c>
      <c r="V21" s="13" t="str">
        <f>IF(U21&gt;0,"interval_on_file","no_interval_abstain")</f>
        <v>no_interval_abstain</v>
      </c>
    </row>
    <row r="22" ht="23.85" customHeight="1" spans="1:22" x14ac:dyDescent="0.25">
      <c r="A22" s="10" t="s">
        <v>259</v>
      </c>
      <c r="B22" s="10" t="s">
        <v>260</v>
      </c>
      <c r="C22" s="10" t="s">
        <v>261</v>
      </c>
      <c r="D22" s="11" t="s">
        <v>262</v>
      </c>
      <c r="E22" s="10" t="s">
        <v>104</v>
      </c>
      <c r="F22" s="10" t="s">
        <v>76</v>
      </c>
      <c r="G22" s="10" t="s">
        <v>181</v>
      </c>
      <c r="H22" s="10" t="s">
        <v>182</v>
      </c>
      <c r="I22" s="11"/>
      <c r="J22" s="10" t="s">
        <v>263</v>
      </c>
      <c r="K22" s="10" t="s">
        <v>242</v>
      </c>
      <c r="L22" s="10" t="s">
        <v>109</v>
      </c>
      <c r="M22" s="10" t="s">
        <v>110</v>
      </c>
      <c r="N22" s="10" t="s">
        <v>111</v>
      </c>
      <c r="O22" s="10"/>
      <c r="P22" s="10" t="s">
        <v>112</v>
      </c>
      <c r="Q22" s="10">
        <v>3</v>
      </c>
      <c r="R22" s="11"/>
      <c r="S22" s="10"/>
      <c r="T22" s="12" t="s">
        <v>74</v>
      </c>
      <c r="U22" s="13">
        <f>COUNTIF(Reference_Intervals!$B$2:$B$99,$A22)</f>
        <v>2</v>
      </c>
      <c r="V22" s="13" t="str">
        <f>IF(U22&gt;0,"interval_on_file","no_interval_abstain")</f>
        <v>interval_on_file</v>
      </c>
    </row>
    <row r="23" ht="23.85" customHeight="1" spans="1:22" x14ac:dyDescent="0.25">
      <c r="A23" s="10" t="s">
        <v>264</v>
      </c>
      <c r="B23" s="10" t="s">
        <v>265</v>
      </c>
      <c r="C23" s="10" t="s">
        <v>266</v>
      </c>
      <c r="D23" s="11" t="s">
        <v>267</v>
      </c>
      <c r="E23" s="10" t="s">
        <v>104</v>
      </c>
      <c r="F23" s="10" t="s">
        <v>76</v>
      </c>
      <c r="G23" s="10" t="s">
        <v>167</v>
      </c>
      <c r="H23" s="10" t="s">
        <v>168</v>
      </c>
      <c r="I23" s="11"/>
      <c r="J23" s="10" t="s">
        <v>268</v>
      </c>
      <c r="K23" s="10" t="s">
        <v>269</v>
      </c>
      <c r="L23" s="10" t="s">
        <v>270</v>
      </c>
      <c r="M23" s="10" t="s">
        <v>119</v>
      </c>
      <c r="N23" s="10" t="s">
        <v>120</v>
      </c>
      <c r="O23" s="10"/>
      <c r="P23" s="10" t="s">
        <v>121</v>
      </c>
      <c r="Q23" s="10">
        <v>2</v>
      </c>
      <c r="R23" s="11" t="s">
        <v>271</v>
      </c>
      <c r="S23" s="10" t="s">
        <v>272</v>
      </c>
      <c r="T23" s="15" t="s">
        <v>273</v>
      </c>
      <c r="U23" s="13">
        <f>COUNTIF(Reference_Intervals!$B$2:$B$99,$A23)</f>
        <v>2</v>
      </c>
      <c r="V23" s="13" t="str">
        <f>IF(U23&gt;0,"interval_on_file","no_interval_abstain")</f>
        <v>interval_on_file</v>
      </c>
    </row>
    <row r="24" ht="23.85" customHeight="1" spans="1:22" x14ac:dyDescent="0.25">
      <c r="A24" s="10" t="s">
        <v>274</v>
      </c>
      <c r="B24" s="10" t="s">
        <v>275</v>
      </c>
      <c r="C24" s="10" t="s">
        <v>276</v>
      </c>
      <c r="D24" s="11" t="s">
        <v>277</v>
      </c>
      <c r="E24" s="10" t="s">
        <v>104</v>
      </c>
      <c r="F24" s="10" t="s">
        <v>76</v>
      </c>
      <c r="G24" s="10" t="s">
        <v>278</v>
      </c>
      <c r="H24" s="10" t="s">
        <v>278</v>
      </c>
      <c r="I24" s="11" t="s">
        <v>279</v>
      </c>
      <c r="J24" s="10" t="s">
        <v>280</v>
      </c>
      <c r="K24" s="10" t="s">
        <v>252</v>
      </c>
      <c r="L24" s="10" t="s">
        <v>243</v>
      </c>
      <c r="M24" s="10" t="s">
        <v>110</v>
      </c>
      <c r="N24" s="10" t="s">
        <v>111</v>
      </c>
      <c r="O24" s="10"/>
      <c r="P24" s="10" t="s">
        <v>112</v>
      </c>
      <c r="Q24" s="10">
        <v>3</v>
      </c>
      <c r="R24" s="11"/>
      <c r="S24" s="10"/>
      <c r="T24" s="15" t="s">
        <v>246</v>
      </c>
      <c r="U24" s="13">
        <f>COUNTIF(Reference_Intervals!$B$2:$B$99,$A24)</f>
        <v>1</v>
      </c>
      <c r="V24" s="13" t="str">
        <f>IF(U24&gt;0,"interval_on_file","no_interval_abstain")</f>
        <v>interval_on_file</v>
      </c>
    </row>
    <row r="25" ht="15" customHeight="1" spans="1:22" x14ac:dyDescent="0.25">
      <c r="A25" s="10" t="s">
        <v>281</v>
      </c>
      <c r="B25" s="10" t="s">
        <v>282</v>
      </c>
      <c r="C25" s="10" t="s">
        <v>283</v>
      </c>
      <c r="D25" s="11" t="s">
        <v>284</v>
      </c>
      <c r="E25" s="10" t="s">
        <v>104</v>
      </c>
      <c r="F25" s="10" t="s">
        <v>76</v>
      </c>
      <c r="G25" s="10" t="s">
        <v>167</v>
      </c>
      <c r="H25" s="10" t="s">
        <v>168</v>
      </c>
      <c r="I25" s="11"/>
      <c r="J25" s="10" t="s">
        <v>169</v>
      </c>
      <c r="K25" s="10" t="s">
        <v>170</v>
      </c>
      <c r="L25" s="10" t="s">
        <v>109</v>
      </c>
      <c r="M25" s="10" t="s">
        <v>110</v>
      </c>
      <c r="N25" s="10" t="s">
        <v>111</v>
      </c>
      <c r="O25" s="10"/>
      <c r="P25" s="10" t="s">
        <v>112</v>
      </c>
      <c r="Q25" s="10">
        <v>3</v>
      </c>
      <c r="R25" s="11"/>
      <c r="S25" s="10"/>
      <c r="T25" s="12" t="s">
        <v>74</v>
      </c>
      <c r="U25" s="13">
        <f>COUNTIF(Reference_Intervals!$B$2:$B$99,$A25)</f>
        <v>2</v>
      </c>
      <c r="V25" s="13" t="str">
        <f>IF(U25&gt;0,"interval_on_file","no_interval_abstain")</f>
        <v>interval_on_file</v>
      </c>
    </row>
    <row r="26" ht="15" customHeight="1" spans="1:22" x14ac:dyDescent="0.25">
      <c r="A26" s="10" t="s">
        <v>285</v>
      </c>
      <c r="B26" s="10" t="s">
        <v>286</v>
      </c>
      <c r="C26" s="10" t="s">
        <v>287</v>
      </c>
      <c r="D26" s="11" t="s">
        <v>288</v>
      </c>
      <c r="E26" s="10" t="s">
        <v>104</v>
      </c>
      <c r="F26" s="10" t="s">
        <v>76</v>
      </c>
      <c r="G26" s="10" t="s">
        <v>105</v>
      </c>
      <c r="H26" s="10" t="s">
        <v>106</v>
      </c>
      <c r="I26" s="11"/>
      <c r="J26" s="10" t="s">
        <v>204</v>
      </c>
      <c r="K26" s="10" t="s">
        <v>205</v>
      </c>
      <c r="L26" s="10" t="s">
        <v>109</v>
      </c>
      <c r="M26" s="10" t="s">
        <v>110</v>
      </c>
      <c r="N26" s="10" t="s">
        <v>111</v>
      </c>
      <c r="O26" s="10"/>
      <c r="P26" s="10" t="s">
        <v>112</v>
      </c>
      <c r="Q26" s="10">
        <v>3</v>
      </c>
      <c r="R26" s="11"/>
      <c r="S26" s="10"/>
      <c r="T26" s="12" t="s">
        <v>74</v>
      </c>
      <c r="U26" s="13">
        <f>COUNTIF(Reference_Intervals!$B$2:$B$99,$A26)</f>
        <v>0</v>
      </c>
      <c r="V26" s="13" t="str">
        <f>IF(U26&gt;0,"interval_on_file","no_interval_abstain")</f>
        <v>no_interval_abstain</v>
      </c>
    </row>
    <row r="27" ht="23.85" customHeight="1" spans="1:22" x14ac:dyDescent="0.25">
      <c r="A27" s="10" t="s">
        <v>289</v>
      </c>
      <c r="B27" s="10" t="s">
        <v>290</v>
      </c>
      <c r="C27" s="10" t="s">
        <v>291</v>
      </c>
      <c r="D27" s="11" t="s">
        <v>292</v>
      </c>
      <c r="E27" s="10" t="s">
        <v>104</v>
      </c>
      <c r="F27" s="10" t="s">
        <v>76</v>
      </c>
      <c r="G27" s="10" t="s">
        <v>293</v>
      </c>
      <c r="H27" s="10" t="s">
        <v>294</v>
      </c>
      <c r="I27" s="11" t="s">
        <v>141</v>
      </c>
      <c r="J27" s="10" t="s">
        <v>251</v>
      </c>
      <c r="K27" s="10" t="s">
        <v>131</v>
      </c>
      <c r="L27" s="10" t="s">
        <v>243</v>
      </c>
      <c r="M27" s="10" t="s">
        <v>119</v>
      </c>
      <c r="N27" s="10" t="s">
        <v>120</v>
      </c>
      <c r="O27" s="10"/>
      <c r="P27" s="10" t="s">
        <v>132</v>
      </c>
      <c r="Q27" s="10">
        <v>2</v>
      </c>
      <c r="R27" s="11" t="s">
        <v>295</v>
      </c>
      <c r="S27" s="10" t="s">
        <v>296</v>
      </c>
      <c r="T27" s="15" t="s">
        <v>246</v>
      </c>
      <c r="U27" s="13">
        <f>COUNTIF(Reference_Intervals!$B$2:$B$99,$A27)</f>
        <v>0</v>
      </c>
      <c r="V27" s="13" t="str">
        <f>IF(U27&gt;0,"interval_on_file","no_interval_abstain")</f>
        <v>no_interval_abstain</v>
      </c>
    </row>
    <row r="28" ht="23.85" customHeight="1" spans="1:22" x14ac:dyDescent="0.25">
      <c r="A28" s="10" t="s">
        <v>297</v>
      </c>
      <c r="B28" s="10" t="s">
        <v>298</v>
      </c>
      <c r="C28" s="10" t="s">
        <v>299</v>
      </c>
      <c r="D28" s="11" t="s">
        <v>300</v>
      </c>
      <c r="E28" s="10" t="s">
        <v>104</v>
      </c>
      <c r="F28" s="10" t="s">
        <v>76</v>
      </c>
      <c r="G28" s="10" t="s">
        <v>139</v>
      </c>
      <c r="H28" s="10" t="s">
        <v>140</v>
      </c>
      <c r="I28" s="11" t="s">
        <v>141</v>
      </c>
      <c r="J28" s="10" t="s">
        <v>142</v>
      </c>
      <c r="K28" s="10" t="s">
        <v>131</v>
      </c>
      <c r="L28" s="10" t="s">
        <v>109</v>
      </c>
      <c r="M28" s="10" t="s">
        <v>110</v>
      </c>
      <c r="N28" s="10" t="s">
        <v>111</v>
      </c>
      <c r="O28" s="10"/>
      <c r="P28" s="10" t="s">
        <v>112</v>
      </c>
      <c r="Q28" s="10">
        <v>3</v>
      </c>
      <c r="R28" s="11"/>
      <c r="S28" s="10"/>
      <c r="T28" s="12" t="s">
        <v>74</v>
      </c>
      <c r="U28" s="13">
        <f>COUNTIF(Reference_Intervals!$B$2:$B$99,$A28)</f>
        <v>0</v>
      </c>
      <c r="V28" s="13" t="str">
        <f>IF(U28&gt;0,"interval_on_file","no_interval_abstain")</f>
        <v>no_interval_abstain</v>
      </c>
    </row>
    <row r="29" ht="15" customHeight="1" spans="1:22" x14ac:dyDescent="0.25">
      <c r="A29" s="10" t="s">
        <v>301</v>
      </c>
      <c r="B29" s="10" t="s">
        <v>302</v>
      </c>
      <c r="C29" s="10" t="s">
        <v>303</v>
      </c>
      <c r="D29" s="11" t="s">
        <v>304</v>
      </c>
      <c r="E29" s="10" t="s">
        <v>104</v>
      </c>
      <c r="F29" s="10" t="s">
        <v>76</v>
      </c>
      <c r="G29" s="10" t="s">
        <v>148</v>
      </c>
      <c r="H29" s="10" t="s">
        <v>149</v>
      </c>
      <c r="I29" s="11"/>
      <c r="J29" s="10" t="s">
        <v>305</v>
      </c>
      <c r="K29" s="10" t="s">
        <v>306</v>
      </c>
      <c r="L29" s="10" t="s">
        <v>109</v>
      </c>
      <c r="M29" s="10" t="s">
        <v>110</v>
      </c>
      <c r="N29" s="10" t="s">
        <v>111</v>
      </c>
      <c r="O29" s="10"/>
      <c r="P29" s="10" t="s">
        <v>112</v>
      </c>
      <c r="Q29" s="10">
        <v>3</v>
      </c>
      <c r="R29" s="11"/>
      <c r="S29" s="10"/>
      <c r="T29" s="12" t="s">
        <v>74</v>
      </c>
      <c r="U29" s="13">
        <f>COUNTIF(Reference_Intervals!$B$2:$B$99,$A29)</f>
        <v>1</v>
      </c>
      <c r="V29" s="13" t="str">
        <f>IF(U29&gt;0,"interval_on_file","no_interval_abstain")</f>
        <v>interval_on_file</v>
      </c>
    </row>
    <row r="30" ht="23.85" customHeight="1" spans="1:22" x14ac:dyDescent="0.25">
      <c r="A30" s="10" t="s">
        <v>307</v>
      </c>
      <c r="B30" s="10" t="s">
        <v>308</v>
      </c>
      <c r="C30" s="10" t="s">
        <v>309</v>
      </c>
      <c r="D30" s="11" t="s">
        <v>310</v>
      </c>
      <c r="E30" s="10" t="s">
        <v>104</v>
      </c>
      <c r="F30" s="10" t="s">
        <v>76</v>
      </c>
      <c r="G30" s="10" t="s">
        <v>139</v>
      </c>
      <c r="H30" s="10" t="s">
        <v>140</v>
      </c>
      <c r="I30" s="11" t="s">
        <v>141</v>
      </c>
      <c r="J30" s="10" t="s">
        <v>142</v>
      </c>
      <c r="K30" s="10" t="s">
        <v>131</v>
      </c>
      <c r="L30" s="10" t="s">
        <v>109</v>
      </c>
      <c r="M30" s="10" t="s">
        <v>110</v>
      </c>
      <c r="N30" s="10" t="s">
        <v>111</v>
      </c>
      <c r="O30" s="10"/>
      <c r="P30" s="10" t="s">
        <v>112</v>
      </c>
      <c r="Q30" s="10">
        <v>3</v>
      </c>
      <c r="R30" s="11"/>
      <c r="S30" s="10"/>
      <c r="T30" s="14" t="s">
        <v>143</v>
      </c>
      <c r="U30" s="13">
        <f>COUNTIF(Reference_Intervals!$B$2:$B$99,$A30)</f>
        <v>0</v>
      </c>
      <c r="V30" s="13" t="str">
        <f>IF(U30&gt;0,"interval_on_file","no_interval_abstain")</f>
        <v>no_interval_abstain</v>
      </c>
    </row>
    <row r="31" ht="15" customHeight="1" spans="1:22" x14ac:dyDescent="0.25">
      <c r="A31" s="10" t="s">
        <v>311</v>
      </c>
      <c r="B31" s="10" t="s">
        <v>312</v>
      </c>
      <c r="C31" s="10" t="s">
        <v>313</v>
      </c>
      <c r="D31" s="11" t="s">
        <v>314</v>
      </c>
      <c r="E31" s="10" t="s">
        <v>104</v>
      </c>
      <c r="F31" s="10" t="s">
        <v>76</v>
      </c>
      <c r="G31" s="10" t="s">
        <v>167</v>
      </c>
      <c r="H31" s="10" t="s">
        <v>168</v>
      </c>
      <c r="I31" s="11"/>
      <c r="J31" s="10" t="s">
        <v>169</v>
      </c>
      <c r="K31" s="10" t="s">
        <v>170</v>
      </c>
      <c r="L31" s="10" t="s">
        <v>109</v>
      </c>
      <c r="M31" s="10" t="s">
        <v>110</v>
      </c>
      <c r="N31" s="10" t="s">
        <v>111</v>
      </c>
      <c r="O31" s="10"/>
      <c r="P31" s="10" t="s">
        <v>112</v>
      </c>
      <c r="Q31" s="10">
        <v>3</v>
      </c>
      <c r="R31" s="11"/>
      <c r="S31" s="10"/>
      <c r="T31" s="12" t="s">
        <v>74</v>
      </c>
      <c r="U31" s="13">
        <f>COUNTIF(Reference_Intervals!$B$2:$B$99,$A31)</f>
        <v>5</v>
      </c>
      <c r="V31" s="13" t="str">
        <f>IF(U31&gt;0,"interval_on_file","no_interval_abstain")</f>
        <v>interval_on_file</v>
      </c>
    </row>
    <row r="32" ht="23.85" customHeight="1" spans="1:22" x14ac:dyDescent="0.25">
      <c r="A32" s="10" t="s">
        <v>315</v>
      </c>
      <c r="B32" s="10" t="s">
        <v>316</v>
      </c>
      <c r="C32" s="10" t="s">
        <v>317</v>
      </c>
      <c r="D32" s="11" t="s">
        <v>318</v>
      </c>
      <c r="E32" s="10" t="s">
        <v>104</v>
      </c>
      <c r="F32" s="10" t="s">
        <v>76</v>
      </c>
      <c r="G32" s="10" t="s">
        <v>181</v>
      </c>
      <c r="H32" s="10" t="s">
        <v>182</v>
      </c>
      <c r="I32" s="11"/>
      <c r="J32" s="10" t="s">
        <v>226</v>
      </c>
      <c r="K32" s="10" t="s">
        <v>227</v>
      </c>
      <c r="L32" s="10" t="s">
        <v>109</v>
      </c>
      <c r="M32" s="10" t="s">
        <v>119</v>
      </c>
      <c r="N32" s="10" t="s">
        <v>120</v>
      </c>
      <c r="O32" s="10"/>
      <c r="P32" s="10" t="s">
        <v>160</v>
      </c>
      <c r="Q32" s="10">
        <v>2</v>
      </c>
      <c r="R32" s="11" t="s">
        <v>228</v>
      </c>
      <c r="S32" s="10" t="s">
        <v>123</v>
      </c>
      <c r="T32" s="12" t="s">
        <v>74</v>
      </c>
      <c r="U32" s="13">
        <f>COUNTIF(Reference_Intervals!$B$2:$B$99,$A32)</f>
        <v>2</v>
      </c>
      <c r="V32" s="13" t="str">
        <f>IF(U32&gt;0,"interval_on_file","no_interval_abstain")</f>
        <v>interval_on_file</v>
      </c>
    </row>
    <row r="33" ht="15" customHeight="1" spans="1:22" x14ac:dyDescent="0.25">
      <c r="A33" s="10" t="s">
        <v>319</v>
      </c>
      <c r="B33" s="10" t="s">
        <v>320</v>
      </c>
      <c r="C33" s="10" t="s">
        <v>321</v>
      </c>
      <c r="D33" s="11" t="s">
        <v>322</v>
      </c>
      <c r="E33" s="10" t="s">
        <v>104</v>
      </c>
      <c r="F33" s="10" t="s">
        <v>76</v>
      </c>
      <c r="G33" s="10" t="s">
        <v>167</v>
      </c>
      <c r="H33" s="10" t="s">
        <v>168</v>
      </c>
      <c r="I33" s="11"/>
      <c r="J33" s="10" t="s">
        <v>169</v>
      </c>
      <c r="K33" s="10" t="s">
        <v>170</v>
      </c>
      <c r="L33" s="10" t="s">
        <v>109</v>
      </c>
      <c r="M33" s="10" t="s">
        <v>110</v>
      </c>
      <c r="N33" s="10" t="s">
        <v>111</v>
      </c>
      <c r="O33" s="10"/>
      <c r="P33" s="10" t="s">
        <v>112</v>
      </c>
      <c r="Q33" s="10">
        <v>3</v>
      </c>
      <c r="R33" s="11"/>
      <c r="S33" s="10"/>
      <c r="T33" s="12" t="s">
        <v>74</v>
      </c>
      <c r="U33" s="13">
        <f>COUNTIF(Reference_Intervals!$B$2:$B$99,$A33)</f>
        <v>0</v>
      </c>
      <c r="V33" s="13" t="str">
        <f>IF(U33&gt;0,"interval_on_file","no_interval_abstain")</f>
        <v>no_interval_abstain</v>
      </c>
    </row>
    <row r="34" ht="15" customHeight="1" spans="1:22" x14ac:dyDescent="0.25">
      <c r="A34" s="10" t="s">
        <v>323</v>
      </c>
      <c r="B34" s="10" t="s">
        <v>324</v>
      </c>
      <c r="C34" s="10" t="s">
        <v>325</v>
      </c>
      <c r="D34" s="11" t="s">
        <v>326</v>
      </c>
      <c r="E34" s="10" t="s">
        <v>104</v>
      </c>
      <c r="F34" s="10" t="s">
        <v>76</v>
      </c>
      <c r="G34" s="10" t="s">
        <v>148</v>
      </c>
      <c r="H34" s="10" t="s">
        <v>149</v>
      </c>
      <c r="I34" s="11"/>
      <c r="J34" s="10" t="s">
        <v>327</v>
      </c>
      <c r="K34" s="10" t="s">
        <v>328</v>
      </c>
      <c r="L34" s="10" t="s">
        <v>243</v>
      </c>
      <c r="M34" s="10" t="s">
        <v>110</v>
      </c>
      <c r="N34" s="10" t="s">
        <v>111</v>
      </c>
      <c r="O34" s="10"/>
      <c r="P34" s="10" t="s">
        <v>112</v>
      </c>
      <c r="Q34" s="10">
        <v>3</v>
      </c>
      <c r="R34" s="11"/>
      <c r="S34" s="10"/>
      <c r="T34" s="15" t="s">
        <v>246</v>
      </c>
      <c r="U34" s="13">
        <f>COUNTIF(Reference_Intervals!$B$2:$B$99,$A34)</f>
        <v>1</v>
      </c>
      <c r="V34" s="13" t="str">
        <f>IF(U34&gt;0,"interval_on_file","no_interval_abstain")</f>
        <v>interval_on_file</v>
      </c>
    </row>
    <row r="35" ht="15" customHeight="1" spans="1:22" x14ac:dyDescent="0.25">
      <c r="A35" s="10" t="s">
        <v>329</v>
      </c>
      <c r="B35" s="10" t="s">
        <v>330</v>
      </c>
      <c r="C35" s="10" t="s">
        <v>331</v>
      </c>
      <c r="D35" s="11" t="s">
        <v>332</v>
      </c>
      <c r="E35" s="10" t="s">
        <v>104</v>
      </c>
      <c r="F35" s="10" t="s">
        <v>76</v>
      </c>
      <c r="G35" s="10" t="s">
        <v>148</v>
      </c>
      <c r="H35" s="10" t="s">
        <v>149</v>
      </c>
      <c r="I35" s="11"/>
      <c r="J35" s="10" t="s">
        <v>305</v>
      </c>
      <c r="K35" s="10" t="s">
        <v>306</v>
      </c>
      <c r="L35" s="10" t="s">
        <v>109</v>
      </c>
      <c r="M35" s="10" t="s">
        <v>110</v>
      </c>
      <c r="N35" s="10" t="s">
        <v>111</v>
      </c>
      <c r="O35" s="10"/>
      <c r="P35" s="10" t="s">
        <v>112</v>
      </c>
      <c r="Q35" s="10">
        <v>3</v>
      </c>
      <c r="R35" s="11"/>
      <c r="S35" s="10"/>
      <c r="T35" s="12" t="s">
        <v>74</v>
      </c>
      <c r="U35" s="13">
        <f>COUNTIF(Reference_Intervals!$B$2:$B$99,$A35)</f>
        <v>1</v>
      </c>
      <c r="V35" s="13" t="str">
        <f>IF(U35&gt;0,"interval_on_file","no_interval_abstain")</f>
        <v>interval_on_file</v>
      </c>
    </row>
    <row r="36" ht="15" customHeight="1" spans="1:22" x14ac:dyDescent="0.25">
      <c r="A36" s="10" t="s">
        <v>333</v>
      </c>
      <c r="B36" s="10" t="s">
        <v>334</v>
      </c>
      <c r="C36" s="10" t="s">
        <v>335</v>
      </c>
      <c r="D36" s="11" t="s">
        <v>336</v>
      </c>
      <c r="E36" s="10" t="s">
        <v>104</v>
      </c>
      <c r="F36" s="10" t="s">
        <v>76</v>
      </c>
      <c r="G36" s="10" t="s">
        <v>214</v>
      </c>
      <c r="H36" s="10" t="s">
        <v>215</v>
      </c>
      <c r="I36" s="11"/>
      <c r="J36" s="10" t="s">
        <v>337</v>
      </c>
      <c r="K36" s="10" t="s">
        <v>338</v>
      </c>
      <c r="L36" s="10" t="s">
        <v>109</v>
      </c>
      <c r="M36" s="10" t="s">
        <v>110</v>
      </c>
      <c r="N36" s="10" t="s">
        <v>111</v>
      </c>
      <c r="O36" s="10"/>
      <c r="P36" s="10" t="s">
        <v>112</v>
      </c>
      <c r="Q36" s="10">
        <v>3</v>
      </c>
      <c r="R36" s="11"/>
      <c r="S36" s="10"/>
      <c r="T36" s="12" t="s">
        <v>74</v>
      </c>
      <c r="U36" s="13">
        <f>COUNTIF(Reference_Intervals!$B$2:$B$99,$A36)</f>
        <v>0</v>
      </c>
      <c r="V36" s="13" t="str">
        <f>IF(U36&gt;0,"interval_on_file","no_interval_abstain")</f>
        <v>no_interval_abstain</v>
      </c>
    </row>
    <row r="37" ht="15" customHeight="1" spans="1:22" x14ac:dyDescent="0.25">
      <c r="A37" s="10" t="s">
        <v>339</v>
      </c>
      <c r="B37" s="10" t="s">
        <v>340</v>
      </c>
      <c r="C37" s="10" t="s">
        <v>341</v>
      </c>
      <c r="D37" s="11" t="s">
        <v>342</v>
      </c>
      <c r="E37" s="10" t="s">
        <v>104</v>
      </c>
      <c r="F37" s="10" t="s">
        <v>76</v>
      </c>
      <c r="G37" s="10" t="s">
        <v>343</v>
      </c>
      <c r="H37" s="10" t="s">
        <v>344</v>
      </c>
      <c r="I37" s="11"/>
      <c r="J37" s="10" t="s">
        <v>107</v>
      </c>
      <c r="K37" s="10" t="s">
        <v>108</v>
      </c>
      <c r="L37" s="10" t="s">
        <v>109</v>
      </c>
      <c r="M37" s="10" t="s">
        <v>110</v>
      </c>
      <c r="N37" s="10" t="s">
        <v>111</v>
      </c>
      <c r="O37" s="10"/>
      <c r="P37" s="10" t="s">
        <v>112</v>
      </c>
      <c r="Q37" s="10">
        <v>3</v>
      </c>
      <c r="R37" s="11"/>
      <c r="S37" s="10"/>
      <c r="T37" s="12" t="s">
        <v>74</v>
      </c>
      <c r="U37" s="13">
        <f>COUNTIF(Reference_Intervals!$B$2:$B$99,$A37)</f>
        <v>1</v>
      </c>
      <c r="V37" s="13" t="str">
        <f>IF(U37&gt;0,"interval_on_file","no_interval_abstain")</f>
        <v>interval_on_file</v>
      </c>
    </row>
    <row r="38" ht="23.85" customHeight="1" spans="1:22" x14ac:dyDescent="0.25">
      <c r="A38" s="10" t="s">
        <v>345</v>
      </c>
      <c r="B38" s="10" t="s">
        <v>346</v>
      </c>
      <c r="C38" s="10" t="s">
        <v>347</v>
      </c>
      <c r="D38" s="11" t="s">
        <v>348</v>
      </c>
      <c r="E38" s="10" t="s">
        <v>104</v>
      </c>
      <c r="F38" s="10" t="s">
        <v>76</v>
      </c>
      <c r="G38" s="10" t="s">
        <v>139</v>
      </c>
      <c r="H38" s="10" t="s">
        <v>140</v>
      </c>
      <c r="I38" s="11" t="s">
        <v>141</v>
      </c>
      <c r="J38" s="10" t="s">
        <v>226</v>
      </c>
      <c r="K38" s="10" t="s">
        <v>227</v>
      </c>
      <c r="L38" s="10" t="s">
        <v>109</v>
      </c>
      <c r="M38" s="10" t="s">
        <v>119</v>
      </c>
      <c r="N38" s="10" t="s">
        <v>120</v>
      </c>
      <c r="O38" s="10"/>
      <c r="P38" s="10" t="s">
        <v>160</v>
      </c>
      <c r="Q38" s="10">
        <v>2</v>
      </c>
      <c r="R38" s="11" t="s">
        <v>349</v>
      </c>
      <c r="S38" s="10" t="s">
        <v>123</v>
      </c>
      <c r="T38" s="12" t="s">
        <v>74</v>
      </c>
      <c r="U38" s="13">
        <f>COUNTIF(Reference_Intervals!$B$2:$B$99,$A38)</f>
        <v>2</v>
      </c>
      <c r="V38" s="13" t="str">
        <f>IF(U38&gt;0,"interval_on_file","no_interval_abstain")</f>
        <v>interval_on_file</v>
      </c>
    </row>
    <row r="39" ht="23.85" customHeight="1" spans="1:22" x14ac:dyDescent="0.25">
      <c r="A39" s="10" t="s">
        <v>350</v>
      </c>
      <c r="B39" s="10" t="s">
        <v>351</v>
      </c>
      <c r="C39" s="10" t="s">
        <v>352</v>
      </c>
      <c r="D39" s="11" t="s">
        <v>353</v>
      </c>
      <c r="E39" s="10" t="s">
        <v>104</v>
      </c>
      <c r="F39" s="10" t="s">
        <v>76</v>
      </c>
      <c r="G39" s="10" t="s">
        <v>117</v>
      </c>
      <c r="H39" s="10" t="s">
        <v>118</v>
      </c>
      <c r="I39" s="11"/>
      <c r="J39" s="10" t="s">
        <v>354</v>
      </c>
      <c r="K39" s="10" t="s">
        <v>355</v>
      </c>
      <c r="L39" s="10" t="s">
        <v>109</v>
      </c>
      <c r="M39" s="10" t="s">
        <v>119</v>
      </c>
      <c r="N39" s="10" t="s">
        <v>120</v>
      </c>
      <c r="O39" s="10"/>
      <c r="P39" s="10" t="s">
        <v>121</v>
      </c>
      <c r="Q39" s="10">
        <v>2</v>
      </c>
      <c r="R39" s="11" t="s">
        <v>356</v>
      </c>
      <c r="S39" s="10" t="s">
        <v>357</v>
      </c>
      <c r="T39" s="12" t="s">
        <v>74</v>
      </c>
      <c r="U39" s="13">
        <f>COUNTIF(Reference_Intervals!$B$2:$B$99,$A39)</f>
        <v>0</v>
      </c>
      <c r="V39" s="13" t="str">
        <f>IF(U39&gt;0,"interval_on_file","no_interval_abstain")</f>
        <v>no_interval_abstain</v>
      </c>
    </row>
    <row r="40" ht="23.85" customHeight="1" spans="1:22" x14ac:dyDescent="0.25">
      <c r="A40" s="10" t="s">
        <v>358</v>
      </c>
      <c r="B40" s="10" t="s">
        <v>359</v>
      </c>
      <c r="C40" s="10" t="s">
        <v>360</v>
      </c>
      <c r="D40" s="11" t="s">
        <v>361</v>
      </c>
      <c r="E40" s="10" t="s">
        <v>104</v>
      </c>
      <c r="F40" s="10" t="s">
        <v>76</v>
      </c>
      <c r="G40" s="10" t="s">
        <v>139</v>
      </c>
      <c r="H40" s="10" t="s">
        <v>140</v>
      </c>
      <c r="I40" s="11" t="s">
        <v>141</v>
      </c>
      <c r="J40" s="10" t="s">
        <v>142</v>
      </c>
      <c r="K40" s="10" t="s">
        <v>131</v>
      </c>
      <c r="L40" s="10" t="s">
        <v>109</v>
      </c>
      <c r="M40" s="10" t="s">
        <v>110</v>
      </c>
      <c r="N40" s="10" t="s">
        <v>111</v>
      </c>
      <c r="O40" s="10"/>
      <c r="P40" s="10" t="s">
        <v>112</v>
      </c>
      <c r="Q40" s="10">
        <v>3</v>
      </c>
      <c r="R40" s="11"/>
      <c r="S40" s="10"/>
      <c r="T40" s="12" t="s">
        <v>74</v>
      </c>
      <c r="U40" s="13">
        <f>COUNTIF(Reference_Intervals!$B$2:$B$99,$A40)</f>
        <v>0</v>
      </c>
      <c r="V40" s="13" t="str">
        <f>IF(U40&gt;0,"interval_on_file","no_interval_abstain")</f>
        <v>no_interval_abstain</v>
      </c>
    </row>
    <row r="41" ht="23.85" customHeight="1" spans="1:22" x14ac:dyDescent="0.25">
      <c r="A41" s="10" t="s">
        <v>362</v>
      </c>
      <c r="B41" s="10" t="s">
        <v>363</v>
      </c>
      <c r="C41" s="10" t="s">
        <v>364</v>
      </c>
      <c r="D41" s="11" t="s">
        <v>365</v>
      </c>
      <c r="E41" s="10" t="s">
        <v>104</v>
      </c>
      <c r="F41" s="10" t="s">
        <v>76</v>
      </c>
      <c r="G41" s="10" t="s">
        <v>343</v>
      </c>
      <c r="H41" s="10" t="s">
        <v>344</v>
      </c>
      <c r="I41" s="11"/>
      <c r="J41" s="10" t="s">
        <v>366</v>
      </c>
      <c r="K41" s="10" t="s">
        <v>242</v>
      </c>
      <c r="L41" s="10" t="s">
        <v>109</v>
      </c>
      <c r="M41" s="10" t="s">
        <v>110</v>
      </c>
      <c r="N41" s="10" t="s">
        <v>111</v>
      </c>
      <c r="O41" s="10"/>
      <c r="P41" s="10" t="s">
        <v>112</v>
      </c>
      <c r="Q41" s="10">
        <v>3</v>
      </c>
      <c r="R41" s="11"/>
      <c r="S41" s="10"/>
      <c r="T41" s="12" t="s">
        <v>74</v>
      </c>
      <c r="U41" s="13">
        <f>COUNTIF(Reference_Intervals!$B$2:$B$99,$A41)</f>
        <v>0</v>
      </c>
      <c r="V41" s="13" t="str">
        <f>IF(U41&gt;0,"interval_on_file","no_interval_abstain")</f>
        <v>no_interval_abstain</v>
      </c>
    </row>
    <row r="42" ht="15" customHeight="1" spans="1:22" x14ac:dyDescent="0.25">
      <c r="A42" s="10" t="s">
        <v>367</v>
      </c>
      <c r="B42" s="10" t="s">
        <v>368</v>
      </c>
      <c r="C42" s="10" t="s">
        <v>369</v>
      </c>
      <c r="D42" s="11" t="s">
        <v>370</v>
      </c>
      <c r="E42" s="10" t="s">
        <v>104</v>
      </c>
      <c r="F42" s="10" t="s">
        <v>76</v>
      </c>
      <c r="G42" s="10" t="s">
        <v>343</v>
      </c>
      <c r="H42" s="10" t="s">
        <v>344</v>
      </c>
      <c r="I42" s="11"/>
      <c r="J42" s="10" t="s">
        <v>107</v>
      </c>
      <c r="K42" s="10" t="s">
        <v>108</v>
      </c>
      <c r="L42" s="10" t="s">
        <v>109</v>
      </c>
      <c r="M42" s="10" t="s">
        <v>110</v>
      </c>
      <c r="N42" s="10" t="s">
        <v>111</v>
      </c>
      <c r="O42" s="10"/>
      <c r="P42" s="10" t="s">
        <v>112</v>
      </c>
      <c r="Q42" s="10">
        <v>3</v>
      </c>
      <c r="R42" s="11"/>
      <c r="S42" s="10"/>
      <c r="T42" s="12" t="s">
        <v>74</v>
      </c>
      <c r="U42" s="13">
        <f>COUNTIF(Reference_Intervals!$B$2:$B$99,$A42)</f>
        <v>2</v>
      </c>
      <c r="V42" s="13" t="str">
        <f>IF(U42&gt;0,"interval_on_file","no_interval_abstain")</f>
        <v>interval_on_file</v>
      </c>
    </row>
    <row r="43" ht="15" customHeight="1" spans="1:22" x14ac:dyDescent="0.25">
      <c r="A43" s="10" t="s">
        <v>371</v>
      </c>
      <c r="B43" s="10" t="s">
        <v>372</v>
      </c>
      <c r="C43" s="10" t="s">
        <v>373</v>
      </c>
      <c r="D43" s="11" t="s">
        <v>374</v>
      </c>
      <c r="E43" s="10" t="s">
        <v>104</v>
      </c>
      <c r="F43" s="10" t="s">
        <v>76</v>
      </c>
      <c r="G43" s="10" t="s">
        <v>167</v>
      </c>
      <c r="H43" s="10" t="s">
        <v>168</v>
      </c>
      <c r="I43" s="11"/>
      <c r="J43" s="10" t="s">
        <v>169</v>
      </c>
      <c r="K43" s="10" t="s">
        <v>170</v>
      </c>
      <c r="L43" s="10" t="s">
        <v>109</v>
      </c>
      <c r="M43" s="10" t="s">
        <v>110</v>
      </c>
      <c r="N43" s="10" t="s">
        <v>111</v>
      </c>
      <c r="O43" s="10"/>
      <c r="P43" s="10" t="s">
        <v>112</v>
      </c>
      <c r="Q43" s="10">
        <v>3</v>
      </c>
      <c r="R43" s="11"/>
      <c r="S43" s="10"/>
      <c r="T43" s="12" t="s">
        <v>74</v>
      </c>
      <c r="U43" s="13">
        <f>COUNTIF(Reference_Intervals!$B$2:$B$99,$A43)</f>
        <v>1</v>
      </c>
      <c r="V43" s="13" t="str">
        <f>IF(U43&gt;0,"interval_on_file","no_interval_abstain")</f>
        <v>interval_on_file</v>
      </c>
    </row>
    <row r="44" ht="23.85" customHeight="1" spans="1:22" x14ac:dyDescent="0.25">
      <c r="A44" s="10" t="s">
        <v>375</v>
      </c>
      <c r="B44" s="10" t="s">
        <v>376</v>
      </c>
      <c r="C44" s="10" t="s">
        <v>377</v>
      </c>
      <c r="D44" s="11" t="s">
        <v>378</v>
      </c>
      <c r="E44" s="10" t="s">
        <v>104</v>
      </c>
      <c r="F44" s="10" t="s">
        <v>76</v>
      </c>
      <c r="G44" s="10" t="s">
        <v>379</v>
      </c>
      <c r="H44" s="10" t="s">
        <v>380</v>
      </c>
      <c r="I44" s="11" t="s">
        <v>381</v>
      </c>
      <c r="J44" s="10" t="s">
        <v>382</v>
      </c>
      <c r="K44" s="10" t="s">
        <v>383</v>
      </c>
      <c r="L44" s="10" t="s">
        <v>109</v>
      </c>
      <c r="M44" s="10" t="s">
        <v>110</v>
      </c>
      <c r="N44" s="10" t="s">
        <v>111</v>
      </c>
      <c r="O44" s="10"/>
      <c r="P44" s="10" t="s">
        <v>112</v>
      </c>
      <c r="Q44" s="10">
        <v>3</v>
      </c>
      <c r="R44" s="11"/>
      <c r="S44" s="10"/>
      <c r="T44" s="12" t="s">
        <v>74</v>
      </c>
      <c r="U44" s="13">
        <f>COUNTIF(Reference_Intervals!$B$2:$B$99,$A44)</f>
        <v>1</v>
      </c>
      <c r="V44" s="13" t="str">
        <f>IF(U44&gt;0,"interval_on_file","no_interval_abstain")</f>
        <v>interval_on_file</v>
      </c>
    </row>
    <row r="45" ht="23.85" customHeight="1" spans="1:22" x14ac:dyDescent="0.25">
      <c r="A45" s="10" t="s">
        <v>384</v>
      </c>
      <c r="B45" s="10" t="s">
        <v>385</v>
      </c>
      <c r="C45" s="10" t="s">
        <v>386</v>
      </c>
      <c r="D45" s="11" t="s">
        <v>387</v>
      </c>
      <c r="E45" s="10" t="s">
        <v>104</v>
      </c>
      <c r="F45" s="10" t="s">
        <v>76</v>
      </c>
      <c r="G45" s="10" t="s">
        <v>139</v>
      </c>
      <c r="H45" s="10" t="s">
        <v>140</v>
      </c>
      <c r="I45" s="11" t="s">
        <v>141</v>
      </c>
      <c r="J45" s="10" t="s">
        <v>130</v>
      </c>
      <c r="K45" s="10" t="s">
        <v>131</v>
      </c>
      <c r="L45" s="10" t="s">
        <v>109</v>
      </c>
      <c r="M45" s="10" t="s">
        <v>119</v>
      </c>
      <c r="N45" s="10" t="s">
        <v>120</v>
      </c>
      <c r="O45" s="10"/>
      <c r="P45" s="10" t="s">
        <v>132</v>
      </c>
      <c r="Q45" s="10">
        <v>2</v>
      </c>
      <c r="R45" s="11" t="s">
        <v>388</v>
      </c>
      <c r="S45" s="10" t="s">
        <v>389</v>
      </c>
      <c r="T45" s="12" t="s">
        <v>74</v>
      </c>
      <c r="U45" s="13">
        <f>COUNTIF(Reference_Intervals!$B$2:$B$99,$A45)</f>
        <v>0</v>
      </c>
      <c r="V45" s="13" t="str">
        <f>IF(U45&gt;0,"interval_on_file","no_interval_abstain")</f>
        <v>no_interval_abstain</v>
      </c>
    </row>
    <row r="46" ht="23.85" customHeight="1" spans="1:22" x14ac:dyDescent="0.25">
      <c r="A46" s="10" t="s">
        <v>390</v>
      </c>
      <c r="B46" s="10" t="s">
        <v>391</v>
      </c>
      <c r="C46" s="10" t="s">
        <v>392</v>
      </c>
      <c r="D46" s="11" t="s">
        <v>393</v>
      </c>
      <c r="E46" s="10" t="s">
        <v>104</v>
      </c>
      <c r="F46" s="10" t="s">
        <v>76</v>
      </c>
      <c r="G46" s="10" t="s">
        <v>139</v>
      </c>
      <c r="H46" s="10" t="s">
        <v>140</v>
      </c>
      <c r="I46" s="11" t="s">
        <v>141</v>
      </c>
      <c r="J46" s="10" t="s">
        <v>130</v>
      </c>
      <c r="K46" s="10" t="s">
        <v>131</v>
      </c>
      <c r="L46" s="10" t="s">
        <v>109</v>
      </c>
      <c r="M46" s="10" t="s">
        <v>119</v>
      </c>
      <c r="N46" s="10" t="s">
        <v>120</v>
      </c>
      <c r="O46" s="10"/>
      <c r="P46" s="10" t="s">
        <v>132</v>
      </c>
      <c r="Q46" s="10">
        <v>2</v>
      </c>
      <c r="R46" s="11" t="s">
        <v>394</v>
      </c>
      <c r="S46" s="10" t="s">
        <v>134</v>
      </c>
      <c r="T46" s="12" t="s">
        <v>74</v>
      </c>
      <c r="U46" s="13">
        <f>COUNTIF(Reference_Intervals!$B$2:$B$99,$A46)</f>
        <v>0</v>
      </c>
      <c r="V46" s="13" t="str">
        <f>IF(U46&gt;0,"interval_on_file","no_interval_abstain")</f>
        <v>no_interval_abstain</v>
      </c>
    </row>
    <row r="47" ht="23.85" customHeight="1" spans="1:22" x14ac:dyDescent="0.25">
      <c r="A47" s="10" t="s">
        <v>395</v>
      </c>
      <c r="B47" s="10" t="s">
        <v>396</v>
      </c>
      <c r="C47" s="10" t="s">
        <v>397</v>
      </c>
      <c r="D47" s="11" t="s">
        <v>398</v>
      </c>
      <c r="E47" s="10" t="s">
        <v>104</v>
      </c>
      <c r="F47" s="10" t="s">
        <v>76</v>
      </c>
      <c r="G47" s="10" t="s">
        <v>214</v>
      </c>
      <c r="H47" s="10" t="s">
        <v>215</v>
      </c>
      <c r="I47" s="11"/>
      <c r="J47" s="10" t="s">
        <v>130</v>
      </c>
      <c r="K47" s="10" t="s">
        <v>131</v>
      </c>
      <c r="L47" s="10" t="s">
        <v>109</v>
      </c>
      <c r="M47" s="10" t="s">
        <v>119</v>
      </c>
      <c r="N47" s="10" t="s">
        <v>120</v>
      </c>
      <c r="O47" s="10"/>
      <c r="P47" s="10" t="s">
        <v>160</v>
      </c>
      <c r="Q47" s="10">
        <v>2</v>
      </c>
      <c r="R47" s="11" t="s">
        <v>399</v>
      </c>
      <c r="S47" s="10" t="s">
        <v>296</v>
      </c>
      <c r="T47" s="12" t="s">
        <v>74</v>
      </c>
      <c r="U47" s="13">
        <f>COUNTIF(Reference_Intervals!$B$2:$B$99,$A47)</f>
        <v>1</v>
      </c>
      <c r="V47" s="13" t="str">
        <f>IF(U47&gt;0,"interval_on_file","no_interval_abstain")</f>
        <v>interval_on_file</v>
      </c>
    </row>
    <row r="48" ht="23.85" customHeight="1" spans="1:22" x14ac:dyDescent="0.25">
      <c r="A48" s="10" t="s">
        <v>400</v>
      </c>
      <c r="B48" s="10" t="s">
        <v>401</v>
      </c>
      <c r="C48" s="10" t="s">
        <v>402</v>
      </c>
      <c r="D48" s="11" t="s">
        <v>403</v>
      </c>
      <c r="E48" s="10" t="s">
        <v>104</v>
      </c>
      <c r="F48" s="10" t="s">
        <v>76</v>
      </c>
      <c r="G48" s="10" t="s">
        <v>139</v>
      </c>
      <c r="H48" s="10" t="s">
        <v>140</v>
      </c>
      <c r="I48" s="11" t="s">
        <v>141</v>
      </c>
      <c r="J48" s="10" t="s">
        <v>130</v>
      </c>
      <c r="K48" s="10" t="s">
        <v>131</v>
      </c>
      <c r="L48" s="10" t="s">
        <v>109</v>
      </c>
      <c r="M48" s="10" t="s">
        <v>110</v>
      </c>
      <c r="N48" s="10" t="s">
        <v>111</v>
      </c>
      <c r="O48" s="10"/>
      <c r="P48" s="10" t="s">
        <v>112</v>
      </c>
      <c r="Q48" s="10">
        <v>3</v>
      </c>
      <c r="R48" s="11"/>
      <c r="S48" s="10"/>
      <c r="T48" s="12" t="s">
        <v>74</v>
      </c>
      <c r="U48" s="13">
        <f>COUNTIF(Reference_Intervals!$B$2:$B$99,$A48)</f>
        <v>0</v>
      </c>
      <c r="V48" s="13" t="str">
        <f>IF(U48&gt;0,"interval_on_file","no_interval_abstain")</f>
        <v>no_interval_abstain</v>
      </c>
    </row>
    <row r="49" ht="23.85" customHeight="1" spans="1:22" x14ac:dyDescent="0.25">
      <c r="A49" s="10" t="s">
        <v>404</v>
      </c>
      <c r="B49" s="10" t="s">
        <v>405</v>
      </c>
      <c r="C49" s="10" t="s">
        <v>406</v>
      </c>
      <c r="D49" s="11" t="s">
        <v>407</v>
      </c>
      <c r="E49" s="10" t="s">
        <v>104</v>
      </c>
      <c r="F49" s="10" t="s">
        <v>76</v>
      </c>
      <c r="G49" s="10" t="s">
        <v>139</v>
      </c>
      <c r="H49" s="10" t="s">
        <v>140</v>
      </c>
      <c r="I49" s="11" t="s">
        <v>141</v>
      </c>
      <c r="J49" s="10" t="s">
        <v>130</v>
      </c>
      <c r="K49" s="10" t="s">
        <v>131</v>
      </c>
      <c r="L49" s="10" t="s">
        <v>109</v>
      </c>
      <c r="M49" s="10" t="s">
        <v>119</v>
      </c>
      <c r="N49" s="10" t="s">
        <v>120</v>
      </c>
      <c r="O49" s="10"/>
      <c r="P49" s="10" t="s">
        <v>132</v>
      </c>
      <c r="Q49" s="10">
        <v>2</v>
      </c>
      <c r="R49" s="11" t="s">
        <v>408</v>
      </c>
      <c r="S49" s="10" t="s">
        <v>134</v>
      </c>
      <c r="T49" s="12" t="s">
        <v>74</v>
      </c>
      <c r="U49" s="13">
        <f>COUNTIF(Reference_Intervals!$B$2:$B$99,$A49)</f>
        <v>0</v>
      </c>
      <c r="V49" s="13" t="str">
        <f>IF(U49&gt;0,"interval_on_file","no_interval_abstain")</f>
        <v>no_interval_abstain</v>
      </c>
    </row>
    <row r="50" ht="23.85" customHeight="1" spans="1:22" x14ac:dyDescent="0.25">
      <c r="A50" s="10" t="s">
        <v>409</v>
      </c>
      <c r="B50" s="10" t="s">
        <v>410</v>
      </c>
      <c r="C50" s="10" t="s">
        <v>411</v>
      </c>
      <c r="D50" s="11" t="s">
        <v>412</v>
      </c>
      <c r="E50" s="10" t="s">
        <v>104</v>
      </c>
      <c r="F50" s="10" t="s">
        <v>76</v>
      </c>
      <c r="G50" s="10" t="s">
        <v>139</v>
      </c>
      <c r="H50" s="10" t="s">
        <v>140</v>
      </c>
      <c r="I50" s="11" t="s">
        <v>141</v>
      </c>
      <c r="J50" s="10" t="s">
        <v>130</v>
      </c>
      <c r="K50" s="10" t="s">
        <v>131</v>
      </c>
      <c r="L50" s="10" t="s">
        <v>109</v>
      </c>
      <c r="M50" s="10" t="s">
        <v>119</v>
      </c>
      <c r="N50" s="10" t="s">
        <v>120</v>
      </c>
      <c r="O50" s="10"/>
      <c r="P50" s="10" t="s">
        <v>132</v>
      </c>
      <c r="Q50" s="10">
        <v>2</v>
      </c>
      <c r="R50" s="11" t="s">
        <v>413</v>
      </c>
      <c r="S50" s="10" t="s">
        <v>245</v>
      </c>
      <c r="T50" s="12" t="s">
        <v>74</v>
      </c>
      <c r="U50" s="13">
        <f>COUNTIF(Reference_Intervals!$B$2:$B$99,$A50)</f>
        <v>0</v>
      </c>
      <c r="V50" s="13" t="str">
        <f>IF(U50&gt;0,"interval_on_file","no_interval_abstain")</f>
        <v>no_interval_abstain</v>
      </c>
    </row>
    <row r="51" ht="15" customHeight="1" spans="1:22" x14ac:dyDescent="0.25">
      <c r="A51" s="10" t="s">
        <v>414</v>
      </c>
      <c r="B51" s="10" t="s">
        <v>415</v>
      </c>
      <c r="C51" s="10" t="s">
        <v>416</v>
      </c>
      <c r="D51" s="11" t="s">
        <v>417</v>
      </c>
      <c r="E51" s="10" t="s">
        <v>104</v>
      </c>
      <c r="F51" s="10" t="s">
        <v>76</v>
      </c>
      <c r="G51" s="10" t="s">
        <v>117</v>
      </c>
      <c r="H51" s="10" t="s">
        <v>118</v>
      </c>
      <c r="I51" s="11"/>
      <c r="J51" s="10" t="s">
        <v>418</v>
      </c>
      <c r="K51" s="10" t="s">
        <v>419</v>
      </c>
      <c r="L51" s="10" t="s">
        <v>109</v>
      </c>
      <c r="M51" s="10" t="s">
        <v>110</v>
      </c>
      <c r="N51" s="10" t="s">
        <v>111</v>
      </c>
      <c r="O51" s="10"/>
      <c r="P51" s="10" t="s">
        <v>112</v>
      </c>
      <c r="Q51" s="10">
        <v>3</v>
      </c>
      <c r="R51" s="11"/>
      <c r="S51" s="10"/>
      <c r="T51" s="12" t="s">
        <v>74</v>
      </c>
      <c r="U51" s="13">
        <f>COUNTIF(Reference_Intervals!$B$2:$B$99,$A51)</f>
        <v>0</v>
      </c>
      <c r="V51" s="13" t="str">
        <f>IF(U51&gt;0,"interval_on_file","no_interval_abstain")</f>
        <v>no_interval_abstain</v>
      </c>
    </row>
    <row r="52" ht="23.85" customHeight="1" spans="1:22" x14ac:dyDescent="0.25">
      <c r="A52" s="10" t="s">
        <v>420</v>
      </c>
      <c r="B52" s="10" t="s">
        <v>421</v>
      </c>
      <c r="C52" s="10" t="s">
        <v>422</v>
      </c>
      <c r="D52" s="11" t="s">
        <v>423</v>
      </c>
      <c r="E52" s="10" t="s">
        <v>104</v>
      </c>
      <c r="F52" s="10" t="s">
        <v>76</v>
      </c>
      <c r="G52" s="10" t="s">
        <v>191</v>
      </c>
      <c r="H52" s="10" t="s">
        <v>192</v>
      </c>
      <c r="I52" s="11"/>
      <c r="J52" s="10" t="s">
        <v>130</v>
      </c>
      <c r="K52" s="10" t="s">
        <v>131</v>
      </c>
      <c r="L52" s="10" t="s">
        <v>109</v>
      </c>
      <c r="M52" s="10" t="s">
        <v>119</v>
      </c>
      <c r="N52" s="10" t="s">
        <v>120</v>
      </c>
      <c r="O52" s="10"/>
      <c r="P52" s="10" t="s">
        <v>132</v>
      </c>
      <c r="Q52" s="10">
        <v>2</v>
      </c>
      <c r="R52" s="11" t="s">
        <v>424</v>
      </c>
      <c r="S52" s="10" t="s">
        <v>134</v>
      </c>
      <c r="T52" s="12" t="s">
        <v>74</v>
      </c>
      <c r="U52" s="13">
        <f>COUNTIF(Reference_Intervals!$B$2:$B$99,$A52)</f>
        <v>0</v>
      </c>
      <c r="V52" s="13" t="str">
        <f>IF(U52&gt;0,"interval_on_file","no_interval_abstain")</f>
        <v>no_interval_abstain</v>
      </c>
    </row>
    <row r="53" ht="35.05" customHeight="1" spans="1:22" x14ac:dyDescent="0.25">
      <c r="A53" s="10" t="s">
        <v>425</v>
      </c>
      <c r="B53" s="10" t="s">
        <v>426</v>
      </c>
      <c r="C53" s="10" t="s">
        <v>427</v>
      </c>
      <c r="D53" s="11" t="s">
        <v>428</v>
      </c>
      <c r="E53" s="10" t="s">
        <v>104</v>
      </c>
      <c r="F53" s="10" t="s">
        <v>76</v>
      </c>
      <c r="G53" s="10" t="s">
        <v>128</v>
      </c>
      <c r="H53" s="10" t="s">
        <v>129</v>
      </c>
      <c r="I53" s="11"/>
      <c r="J53" s="10" t="s">
        <v>130</v>
      </c>
      <c r="K53" s="10" t="s">
        <v>131</v>
      </c>
      <c r="L53" s="10" t="s">
        <v>109</v>
      </c>
      <c r="M53" s="10" t="s">
        <v>119</v>
      </c>
      <c r="N53" s="10" t="s">
        <v>120</v>
      </c>
      <c r="O53" s="10"/>
      <c r="P53" s="10" t="s">
        <v>132</v>
      </c>
      <c r="Q53" s="10">
        <v>2</v>
      </c>
      <c r="R53" s="11" t="s">
        <v>429</v>
      </c>
      <c r="S53" s="10" t="s">
        <v>134</v>
      </c>
      <c r="T53" s="14" t="s">
        <v>143</v>
      </c>
      <c r="U53" s="13">
        <f>COUNTIF(Reference_Intervals!$B$2:$B$99,$A53)</f>
        <v>0</v>
      </c>
      <c r="V53" s="13" t="str">
        <f>IF(U53&gt;0,"interval_on_file","no_interval_abstain")</f>
        <v>no_interval_abstain</v>
      </c>
    </row>
    <row r="54" ht="23.85" customHeight="1" spans="1:22" x14ac:dyDescent="0.25">
      <c r="A54" s="10" t="s">
        <v>430</v>
      </c>
      <c r="B54" s="10" t="s">
        <v>431</v>
      </c>
      <c r="C54" s="10" t="s">
        <v>432</v>
      </c>
      <c r="D54" s="11" t="s">
        <v>433</v>
      </c>
      <c r="E54" s="10" t="s">
        <v>104</v>
      </c>
      <c r="F54" s="10" t="s">
        <v>76</v>
      </c>
      <c r="G54" s="10" t="s">
        <v>139</v>
      </c>
      <c r="H54" s="10" t="s">
        <v>140</v>
      </c>
      <c r="I54" s="11" t="s">
        <v>141</v>
      </c>
      <c r="J54" s="10" t="s">
        <v>142</v>
      </c>
      <c r="K54" s="10" t="s">
        <v>131</v>
      </c>
      <c r="L54" s="10" t="s">
        <v>109</v>
      </c>
      <c r="M54" s="10" t="s">
        <v>110</v>
      </c>
      <c r="N54" s="10" t="s">
        <v>111</v>
      </c>
      <c r="O54" s="10"/>
      <c r="P54" s="10" t="s">
        <v>112</v>
      </c>
      <c r="Q54" s="10">
        <v>3</v>
      </c>
      <c r="R54" s="11"/>
      <c r="S54" s="10"/>
      <c r="T54" s="12" t="s">
        <v>74</v>
      </c>
      <c r="U54" s="13">
        <f>COUNTIF(Reference_Intervals!$B$2:$B$99,$A54)</f>
        <v>0</v>
      </c>
      <c r="V54" s="13" t="str">
        <f>IF(U54&gt;0,"interval_on_file","no_interval_abstain")</f>
        <v>no_interval_abstain</v>
      </c>
    </row>
    <row r="55" ht="15" customHeight="1" spans="1:22" x14ac:dyDescent="0.25">
      <c r="A55" s="10" t="s">
        <v>434</v>
      </c>
      <c r="B55" s="10" t="s">
        <v>435</v>
      </c>
      <c r="C55" s="10" t="s">
        <v>436</v>
      </c>
      <c r="D55" s="11" t="s">
        <v>437</v>
      </c>
      <c r="E55" s="10" t="s">
        <v>104</v>
      </c>
      <c r="F55" s="10" t="s">
        <v>76</v>
      </c>
      <c r="G55" s="10" t="s">
        <v>438</v>
      </c>
      <c r="H55" s="10" t="s">
        <v>439</v>
      </c>
      <c r="I55" s="11"/>
      <c r="J55" s="10" t="s">
        <v>440</v>
      </c>
      <c r="K55" s="10" t="s">
        <v>441</v>
      </c>
      <c r="L55" s="10" t="s">
        <v>109</v>
      </c>
      <c r="M55" s="10" t="s">
        <v>442</v>
      </c>
      <c r="N55" s="10" t="s">
        <v>111</v>
      </c>
      <c r="O55" s="10" t="s">
        <v>443</v>
      </c>
      <c r="P55" s="10" t="s">
        <v>112</v>
      </c>
      <c r="Q55" s="10">
        <v>3</v>
      </c>
      <c r="R55" s="11"/>
      <c r="S55" s="10"/>
      <c r="T55" s="12" t="s">
        <v>74</v>
      </c>
      <c r="U55" s="13">
        <f>COUNTIF(Reference_Intervals!$B$2:$B$99,$A55)</f>
        <v>0</v>
      </c>
      <c r="V55" s="13" t="str">
        <f>IF(U55&gt;0,"interval_on_file","no_interval_abstain")</f>
        <v>no_interval_abstain</v>
      </c>
    </row>
    <row r="56" ht="23.85" customHeight="1" spans="1:22" x14ac:dyDescent="0.25">
      <c r="A56" s="10" t="s">
        <v>444</v>
      </c>
      <c r="B56" s="10" t="s">
        <v>445</v>
      </c>
      <c r="C56" s="10" t="s">
        <v>446</v>
      </c>
      <c r="D56" s="11" t="s">
        <v>447</v>
      </c>
      <c r="E56" s="10" t="s">
        <v>104</v>
      </c>
      <c r="F56" s="10" t="s">
        <v>76</v>
      </c>
      <c r="G56" s="10" t="s">
        <v>278</v>
      </c>
      <c r="H56" s="10" t="s">
        <v>278</v>
      </c>
      <c r="I56" s="11" t="s">
        <v>279</v>
      </c>
      <c r="J56" s="10" t="s">
        <v>440</v>
      </c>
      <c r="K56" s="10" t="s">
        <v>441</v>
      </c>
      <c r="L56" s="10" t="s">
        <v>109</v>
      </c>
      <c r="M56" s="10" t="s">
        <v>442</v>
      </c>
      <c r="N56" s="10" t="s">
        <v>111</v>
      </c>
      <c r="O56" s="10" t="s">
        <v>443</v>
      </c>
      <c r="P56" s="10" t="s">
        <v>112</v>
      </c>
      <c r="Q56" s="10">
        <v>3</v>
      </c>
      <c r="R56" s="11"/>
      <c r="S56" s="10"/>
      <c r="T56" s="12" t="s">
        <v>74</v>
      </c>
      <c r="U56" s="13">
        <f>COUNTIF(Reference_Intervals!$B$2:$B$99,$A56)</f>
        <v>0</v>
      </c>
      <c r="V56" s="13" t="str">
        <f>IF(U56&gt;0,"interval_on_file","no_interval_abstain")</f>
        <v>no_interval_abstain</v>
      </c>
    </row>
    <row r="57" ht="23.85" customHeight="1" spans="1:22" x14ac:dyDescent="0.25">
      <c r="A57" s="10" t="s">
        <v>448</v>
      </c>
      <c r="B57" s="10" t="s">
        <v>449</v>
      </c>
      <c r="C57" s="10" t="s">
        <v>450</v>
      </c>
      <c r="D57" s="11" t="s">
        <v>451</v>
      </c>
      <c r="E57" s="10" t="s">
        <v>104</v>
      </c>
      <c r="F57" s="10" t="s">
        <v>76</v>
      </c>
      <c r="G57" s="10" t="s">
        <v>452</v>
      </c>
      <c r="H57" s="10" t="s">
        <v>453</v>
      </c>
      <c r="I57" s="11" t="s">
        <v>454</v>
      </c>
      <c r="J57" s="10" t="s">
        <v>440</v>
      </c>
      <c r="K57" s="10" t="s">
        <v>441</v>
      </c>
      <c r="L57" s="10" t="s">
        <v>109</v>
      </c>
      <c r="M57" s="10" t="s">
        <v>442</v>
      </c>
      <c r="N57" s="10" t="s">
        <v>111</v>
      </c>
      <c r="O57" s="10" t="s">
        <v>443</v>
      </c>
      <c r="P57" s="10" t="s">
        <v>112</v>
      </c>
      <c r="Q57" s="10">
        <v>3</v>
      </c>
      <c r="R57" s="11"/>
      <c r="S57" s="10"/>
      <c r="T57" s="12" t="s">
        <v>74</v>
      </c>
      <c r="U57" s="13">
        <f>COUNTIF(Reference_Intervals!$B$2:$B$99,$A57)</f>
        <v>0</v>
      </c>
      <c r="V57" s="13" t="str">
        <f>IF(U57&gt;0,"interval_on_file","no_interval_abstain")</f>
        <v>no_interval_abstain</v>
      </c>
    </row>
    <row r="58" ht="23.85" customHeight="1" spans="1:22" x14ac:dyDescent="0.25">
      <c r="A58" s="10" t="s">
        <v>455</v>
      </c>
      <c r="B58" s="10" t="s">
        <v>456</v>
      </c>
      <c r="C58" s="10" t="s">
        <v>457</v>
      </c>
      <c r="D58" s="11" t="s">
        <v>458</v>
      </c>
      <c r="E58" s="10" t="s">
        <v>104</v>
      </c>
      <c r="F58" s="10" t="s">
        <v>76</v>
      </c>
      <c r="G58" s="10" t="s">
        <v>459</v>
      </c>
      <c r="H58" s="10" t="s">
        <v>460</v>
      </c>
      <c r="I58" s="11" t="s">
        <v>461</v>
      </c>
      <c r="J58" s="10" t="s">
        <v>462</v>
      </c>
      <c r="K58" s="10" t="s">
        <v>463</v>
      </c>
      <c r="L58" s="10" t="s">
        <v>109</v>
      </c>
      <c r="M58" s="10" t="s">
        <v>442</v>
      </c>
      <c r="N58" s="10" t="s">
        <v>111</v>
      </c>
      <c r="O58" s="10" t="s">
        <v>443</v>
      </c>
      <c r="P58" s="10" t="s">
        <v>112</v>
      </c>
      <c r="Q58" s="10">
        <v>3</v>
      </c>
      <c r="R58" s="11"/>
      <c r="S58" s="10"/>
      <c r="T58" s="12" t="s">
        <v>74</v>
      </c>
      <c r="U58" s="13">
        <f>COUNTIF(Reference_Intervals!$B$2:$B$99,$A58)</f>
        <v>0</v>
      </c>
      <c r="V58" s="13" t="str">
        <f>IF(U58&gt;0,"interval_on_file","no_interval_abstain")</f>
        <v>no_interval_abstain</v>
      </c>
    </row>
    <row r="59" ht="23.85" customHeight="1" spans="1:22" x14ac:dyDescent="0.25">
      <c r="A59" s="10" t="s">
        <v>464</v>
      </c>
      <c r="B59" s="10" t="s">
        <v>465</v>
      </c>
      <c r="C59" s="10" t="s">
        <v>466</v>
      </c>
      <c r="D59" s="11" t="s">
        <v>467</v>
      </c>
      <c r="E59" s="10" t="s">
        <v>104</v>
      </c>
      <c r="F59" s="10" t="s">
        <v>76</v>
      </c>
      <c r="G59" s="10" t="s">
        <v>459</v>
      </c>
      <c r="H59" s="10" t="s">
        <v>460</v>
      </c>
      <c r="I59" s="11" t="s">
        <v>461</v>
      </c>
      <c r="J59" s="10" t="s">
        <v>440</v>
      </c>
      <c r="K59" s="10" t="s">
        <v>441</v>
      </c>
      <c r="L59" s="10" t="s">
        <v>109</v>
      </c>
      <c r="M59" s="10" t="s">
        <v>442</v>
      </c>
      <c r="N59" s="10" t="s">
        <v>111</v>
      </c>
      <c r="O59" s="10" t="s">
        <v>443</v>
      </c>
      <c r="P59" s="10" t="s">
        <v>112</v>
      </c>
      <c r="Q59" s="10">
        <v>3</v>
      </c>
      <c r="R59" s="11"/>
      <c r="S59" s="10"/>
      <c r="T59" s="12" t="s">
        <v>74</v>
      </c>
      <c r="U59" s="13">
        <f>COUNTIF(Reference_Intervals!$B$2:$B$99,$A59)</f>
        <v>0</v>
      </c>
      <c r="V59" s="13" t="str">
        <f>IF(U59&gt;0,"interval_on_file","no_interval_abstain")</f>
        <v>no_interval_abstain</v>
      </c>
    </row>
    <row r="60" ht="23.85" customHeight="1" spans="1:22" x14ac:dyDescent="0.25">
      <c r="A60" s="10" t="s">
        <v>468</v>
      </c>
      <c r="B60" s="10" t="s">
        <v>469</v>
      </c>
      <c r="C60" s="10" t="s">
        <v>470</v>
      </c>
      <c r="D60" s="11" t="s">
        <v>471</v>
      </c>
      <c r="E60" s="10" t="s">
        <v>104</v>
      </c>
      <c r="F60" s="10" t="s">
        <v>76</v>
      </c>
      <c r="G60" s="10" t="s">
        <v>472</v>
      </c>
      <c r="H60" s="10" t="s">
        <v>473</v>
      </c>
      <c r="I60" s="11" t="s">
        <v>474</v>
      </c>
      <c r="J60" s="10" t="s">
        <v>440</v>
      </c>
      <c r="K60" s="10" t="s">
        <v>441</v>
      </c>
      <c r="L60" s="10" t="s">
        <v>109</v>
      </c>
      <c r="M60" s="10" t="s">
        <v>442</v>
      </c>
      <c r="N60" s="10" t="s">
        <v>111</v>
      </c>
      <c r="O60" s="10" t="s">
        <v>443</v>
      </c>
      <c r="P60" s="10" t="s">
        <v>112</v>
      </c>
      <c r="Q60" s="10">
        <v>3</v>
      </c>
      <c r="R60" s="11"/>
      <c r="S60" s="10"/>
      <c r="T60" s="12" t="s">
        <v>74</v>
      </c>
      <c r="U60" s="13">
        <f>COUNTIF(Reference_Intervals!$B$2:$B$99,$A60)</f>
        <v>0</v>
      </c>
      <c r="V60" s="13" t="str">
        <f>IF(U60&gt;0,"interval_on_file","no_interval_abstain")</f>
        <v>no_interval_abstain</v>
      </c>
    </row>
    <row r="61" ht="23.85" customHeight="1" spans="1:22" x14ac:dyDescent="0.25">
      <c r="A61" s="10" t="s">
        <v>475</v>
      </c>
      <c r="B61" s="10" t="s">
        <v>476</v>
      </c>
      <c r="C61" s="10" t="s">
        <v>477</v>
      </c>
      <c r="D61" s="11" t="s">
        <v>478</v>
      </c>
      <c r="E61" s="10" t="s">
        <v>104</v>
      </c>
      <c r="F61" s="10" t="s">
        <v>76</v>
      </c>
      <c r="G61" s="10" t="s">
        <v>479</v>
      </c>
      <c r="H61" s="10" t="s">
        <v>479</v>
      </c>
      <c r="I61" s="11"/>
      <c r="J61" s="10" t="s">
        <v>440</v>
      </c>
      <c r="K61" s="10" t="s">
        <v>441</v>
      </c>
      <c r="L61" s="10" t="s">
        <v>109</v>
      </c>
      <c r="M61" s="10" t="s">
        <v>442</v>
      </c>
      <c r="N61" s="10" t="s">
        <v>111</v>
      </c>
      <c r="O61" s="10" t="s">
        <v>443</v>
      </c>
      <c r="P61" s="10" t="s">
        <v>112</v>
      </c>
      <c r="Q61" s="10">
        <v>3</v>
      </c>
      <c r="R61" s="11"/>
      <c r="S61" s="10"/>
      <c r="T61" s="12" t="s">
        <v>74</v>
      </c>
      <c r="U61" s="13">
        <f>COUNTIF(Reference_Intervals!$B$2:$B$99,$A61)</f>
        <v>0</v>
      </c>
      <c r="V61" s="13" t="str">
        <f>IF(U61&gt;0,"interval_on_file","no_interval_abstain")</f>
        <v>no_interval_abstain</v>
      </c>
    </row>
    <row r="62" ht="23.85" customHeight="1" spans="1:22" x14ac:dyDescent="0.25">
      <c r="A62" s="10" t="s">
        <v>480</v>
      </c>
      <c r="B62" s="10" t="s">
        <v>481</v>
      </c>
      <c r="C62" s="10" t="s">
        <v>482</v>
      </c>
      <c r="D62" s="11" t="s">
        <v>483</v>
      </c>
      <c r="E62" s="10" t="s">
        <v>104</v>
      </c>
      <c r="F62" s="10" t="s">
        <v>76</v>
      </c>
      <c r="G62" s="10" t="s">
        <v>438</v>
      </c>
      <c r="H62" s="10" t="s">
        <v>439</v>
      </c>
      <c r="I62" s="11"/>
      <c r="J62" s="10" t="s">
        <v>440</v>
      </c>
      <c r="K62" s="10" t="s">
        <v>441</v>
      </c>
      <c r="L62" s="10" t="s">
        <v>109</v>
      </c>
      <c r="M62" s="10" t="s">
        <v>442</v>
      </c>
      <c r="N62" s="10" t="s">
        <v>111</v>
      </c>
      <c r="O62" s="10" t="s">
        <v>443</v>
      </c>
      <c r="P62" s="10" t="s">
        <v>112</v>
      </c>
      <c r="Q62" s="10">
        <v>3</v>
      </c>
      <c r="R62" s="11"/>
      <c r="S62" s="10"/>
      <c r="T62" s="12" t="s">
        <v>74</v>
      </c>
      <c r="U62" s="13">
        <f>COUNTIF(Reference_Intervals!$B$2:$B$99,$A62)</f>
        <v>0</v>
      </c>
      <c r="V62" s="13" t="str">
        <f>IF(U62&gt;0,"interval_on_file","no_interval_abstain")</f>
        <v>no_interval_abstain</v>
      </c>
    </row>
    <row r="63" ht="15" customHeight="1" spans="1:22" x14ac:dyDescent="0.25">
      <c r="A63" s="10" t="s">
        <v>484</v>
      </c>
      <c r="B63" s="10" t="s">
        <v>485</v>
      </c>
      <c r="C63" s="10" t="s">
        <v>486</v>
      </c>
      <c r="D63" s="11" t="s">
        <v>487</v>
      </c>
      <c r="E63" s="10" t="s">
        <v>104</v>
      </c>
      <c r="F63" s="10" t="s">
        <v>76</v>
      </c>
      <c r="G63" s="10" t="s">
        <v>239</v>
      </c>
      <c r="H63" s="10" t="s">
        <v>240</v>
      </c>
      <c r="I63" s="11"/>
      <c r="J63" s="10" t="s">
        <v>488</v>
      </c>
      <c r="K63" s="10" t="s">
        <v>489</v>
      </c>
      <c r="L63" s="10" t="s">
        <v>109</v>
      </c>
      <c r="M63" s="10" t="s">
        <v>442</v>
      </c>
      <c r="N63" s="10" t="s">
        <v>111</v>
      </c>
      <c r="O63" s="10" t="s">
        <v>490</v>
      </c>
      <c r="P63" s="10" t="s">
        <v>112</v>
      </c>
      <c r="Q63" s="10">
        <v>3</v>
      </c>
      <c r="R63" s="11"/>
      <c r="S63" s="10"/>
      <c r="T63" s="12" t="s">
        <v>74</v>
      </c>
      <c r="U63" s="13">
        <f>COUNTIF(Reference_Intervals!$B$2:$B$99,$A63)</f>
        <v>0</v>
      </c>
      <c r="V63" s="13" t="str">
        <f>IF(U63&gt;0,"interval_on_file","no_interval_abstain")</f>
        <v>no_interval_abstain</v>
      </c>
    </row>
    <row r="64" ht="15" customHeight="1" spans="1:22" x14ac:dyDescent="0.25">
      <c r="A64" s="10" t="s">
        <v>491</v>
      </c>
      <c r="B64" s="10" t="s">
        <v>492</v>
      </c>
      <c r="C64" s="10" t="s">
        <v>493</v>
      </c>
      <c r="D64" s="11" t="s">
        <v>494</v>
      </c>
      <c r="E64" s="10" t="s">
        <v>104</v>
      </c>
      <c r="F64" s="10" t="s">
        <v>76</v>
      </c>
      <c r="G64" s="10" t="s">
        <v>239</v>
      </c>
      <c r="H64" s="10" t="s">
        <v>240</v>
      </c>
      <c r="I64" s="11"/>
      <c r="J64" s="10" t="s">
        <v>488</v>
      </c>
      <c r="K64" s="10" t="s">
        <v>489</v>
      </c>
      <c r="L64" s="10" t="s">
        <v>109</v>
      </c>
      <c r="M64" s="10" t="s">
        <v>442</v>
      </c>
      <c r="N64" s="10" t="s">
        <v>111</v>
      </c>
      <c r="O64" s="10" t="s">
        <v>490</v>
      </c>
      <c r="P64" s="10" t="s">
        <v>112</v>
      </c>
      <c r="Q64" s="10">
        <v>3</v>
      </c>
      <c r="R64" s="11"/>
      <c r="S64" s="10"/>
      <c r="T64" s="12" t="s">
        <v>74</v>
      </c>
      <c r="U64" s="13">
        <f>COUNTIF(Reference_Intervals!$B$2:$B$99,$A64)</f>
        <v>0</v>
      </c>
      <c r="V64" s="13" t="str">
        <f>IF(U64&gt;0,"interval_on_file","no_interval_abstain")</f>
        <v>no_interval_abstain</v>
      </c>
    </row>
    <row r="65" ht="15" customHeight="1" spans="1:22" x14ac:dyDescent="0.25">
      <c r="A65" s="10" t="s">
        <v>495</v>
      </c>
      <c r="B65" s="10" t="s">
        <v>496</v>
      </c>
      <c r="C65" s="10" t="s">
        <v>497</v>
      </c>
      <c r="D65" s="11" t="s">
        <v>498</v>
      </c>
      <c r="E65" s="10" t="s">
        <v>104</v>
      </c>
      <c r="F65" s="10" t="s">
        <v>76</v>
      </c>
      <c r="G65" s="10" t="s">
        <v>239</v>
      </c>
      <c r="H65" s="10" t="s">
        <v>240</v>
      </c>
      <c r="I65" s="11"/>
      <c r="J65" s="10" t="s">
        <v>488</v>
      </c>
      <c r="K65" s="10" t="s">
        <v>489</v>
      </c>
      <c r="L65" s="10" t="s">
        <v>109</v>
      </c>
      <c r="M65" s="10" t="s">
        <v>442</v>
      </c>
      <c r="N65" s="10" t="s">
        <v>111</v>
      </c>
      <c r="O65" s="10" t="s">
        <v>490</v>
      </c>
      <c r="P65" s="10" t="s">
        <v>112</v>
      </c>
      <c r="Q65" s="10">
        <v>3</v>
      </c>
      <c r="R65" s="11"/>
      <c r="S65" s="10"/>
      <c r="T65" s="12" t="s">
        <v>74</v>
      </c>
      <c r="U65" s="13">
        <f>COUNTIF(Reference_Intervals!$B$2:$B$99,$A65)</f>
        <v>0</v>
      </c>
      <c r="V65" s="13" t="str">
        <f>IF(U65&gt;0,"interval_on_file","no_interval_abstain")</f>
        <v>no_interval_abstain</v>
      </c>
    </row>
    <row r="66" ht="23.85" customHeight="1" spans="1:22" x14ac:dyDescent="0.25">
      <c r="A66" s="10" t="s">
        <v>499</v>
      </c>
      <c r="B66" s="10" t="s">
        <v>500</v>
      </c>
      <c r="C66" s="10" t="s">
        <v>501</v>
      </c>
      <c r="D66" s="11" t="s">
        <v>502</v>
      </c>
      <c r="E66" s="10" t="s">
        <v>104</v>
      </c>
      <c r="F66" s="10" t="s">
        <v>76</v>
      </c>
      <c r="G66" s="10" t="s">
        <v>117</v>
      </c>
      <c r="H66" s="10" t="s">
        <v>118</v>
      </c>
      <c r="I66" s="11"/>
      <c r="J66" s="10" t="s">
        <v>503</v>
      </c>
      <c r="K66" s="10" t="s">
        <v>419</v>
      </c>
      <c r="L66" s="10" t="s">
        <v>109</v>
      </c>
      <c r="M66" s="10" t="s">
        <v>442</v>
      </c>
      <c r="N66" s="10" t="s">
        <v>111</v>
      </c>
      <c r="O66" s="10" t="s">
        <v>504</v>
      </c>
      <c r="P66" s="10" t="s">
        <v>112</v>
      </c>
      <c r="Q66" s="10">
        <v>3</v>
      </c>
      <c r="R66" s="11"/>
      <c r="S66" s="10"/>
      <c r="T66" s="12" t="s">
        <v>74</v>
      </c>
      <c r="U66" s="13">
        <f>COUNTIF(Reference_Intervals!$B$2:$B$99,$A66)</f>
        <v>0</v>
      </c>
      <c r="V66" s="13" t="str">
        <f>IF(U66&gt;0,"interval_on_file","no_interval_abstain")</f>
        <v>no_interval_abstain</v>
      </c>
    </row>
    <row r="67" ht="23.85" customHeight="1" spans="1:22" x14ac:dyDescent="0.25">
      <c r="A67" s="10" t="s">
        <v>505</v>
      </c>
      <c r="B67" s="10" t="s">
        <v>506</v>
      </c>
      <c r="C67" s="10" t="s">
        <v>507</v>
      </c>
      <c r="D67" s="11" t="s">
        <v>508</v>
      </c>
      <c r="E67" s="10" t="s">
        <v>104</v>
      </c>
      <c r="F67" s="10" t="s">
        <v>76</v>
      </c>
      <c r="G67" s="10" t="s">
        <v>509</v>
      </c>
      <c r="H67" s="10" t="s">
        <v>510</v>
      </c>
      <c r="I67" s="11" t="s">
        <v>511</v>
      </c>
      <c r="J67" s="10" t="s">
        <v>503</v>
      </c>
      <c r="K67" s="10" t="s">
        <v>419</v>
      </c>
      <c r="L67" s="10" t="s">
        <v>109</v>
      </c>
      <c r="M67" s="10" t="s">
        <v>442</v>
      </c>
      <c r="N67" s="10" t="s">
        <v>111</v>
      </c>
      <c r="O67" s="10" t="s">
        <v>504</v>
      </c>
      <c r="P67" s="10" t="s">
        <v>112</v>
      </c>
      <c r="Q67" s="10">
        <v>3</v>
      </c>
      <c r="R67" s="11"/>
      <c r="S67" s="10"/>
      <c r="T67" s="12" t="s">
        <v>74</v>
      </c>
      <c r="U67" s="13">
        <f>COUNTIF(Reference_Intervals!$B$2:$B$99,$A67)</f>
        <v>0</v>
      </c>
      <c r="V67" s="13" t="str">
        <f>IF(U67&gt;0,"interval_on_file","no_interval_abstain")</f>
        <v>no_interval_abstain</v>
      </c>
    </row>
    <row r="68" ht="15" customHeight="1" spans="1:22" x14ac:dyDescent="0.25">
      <c r="A68" s="10" t="s">
        <v>512</v>
      </c>
      <c r="B68" s="10" t="s">
        <v>513</v>
      </c>
      <c r="C68" s="10" t="s">
        <v>514</v>
      </c>
      <c r="D68" s="11" t="s">
        <v>515</v>
      </c>
      <c r="E68" s="10" t="s">
        <v>104</v>
      </c>
      <c r="F68" s="10" t="s">
        <v>76</v>
      </c>
      <c r="G68" s="10" t="s">
        <v>167</v>
      </c>
      <c r="H68" s="10" t="s">
        <v>168</v>
      </c>
      <c r="I68" s="11"/>
      <c r="J68" s="10" t="s">
        <v>516</v>
      </c>
      <c r="K68" s="10" t="s">
        <v>269</v>
      </c>
      <c r="L68" s="10" t="s">
        <v>109</v>
      </c>
      <c r="M68" s="10" t="s">
        <v>442</v>
      </c>
      <c r="N68" s="10" t="s">
        <v>111</v>
      </c>
      <c r="O68" s="10" t="s">
        <v>517</v>
      </c>
      <c r="P68" s="10" t="s">
        <v>112</v>
      </c>
      <c r="Q68" s="10">
        <v>3</v>
      </c>
      <c r="R68" s="11"/>
      <c r="S68" s="10"/>
      <c r="T68" s="12" t="s">
        <v>74</v>
      </c>
      <c r="U68" s="13">
        <f>COUNTIF(Reference_Intervals!$B$2:$B$99,$A68)</f>
        <v>0</v>
      </c>
      <c r="V68" s="13" t="str">
        <f>IF(U68&gt;0,"interval_on_file","no_interval_abstain")</f>
        <v>no_interval_abstain</v>
      </c>
    </row>
  </sheetData>
  <autoFilter ref="A1:V68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4" customWidth="1"/>
    <col min="2" max="2" width="14" customWidth="1"/>
    <col min="3" max="3" width="30" customWidth="1"/>
    <col min="4" max="4" width="24" customWidth="1"/>
    <col min="5" max="5" width="20" customWidth="1"/>
    <col min="6" max="7" width="22" customWidth="1"/>
    <col min="8" max="8" width="16" customWidth="1"/>
  </cols>
  <sheetData>
    <row r="1" ht="30" customHeight="1" spans="1:8" x14ac:dyDescent="0.25">
      <c r="A1" s="9" t="s">
        <v>518</v>
      </c>
      <c r="B1" s="9" t="s">
        <v>519</v>
      </c>
      <c r="C1" s="9" t="s">
        <v>520</v>
      </c>
      <c r="D1" s="9" t="s">
        <v>521</v>
      </c>
      <c r="E1" s="9" t="s">
        <v>522</v>
      </c>
      <c r="F1" s="9" t="s">
        <v>523</v>
      </c>
      <c r="G1" s="9" t="s">
        <v>524</v>
      </c>
      <c r="H1" s="9" t="s">
        <v>525</v>
      </c>
    </row>
    <row r="2" ht="15" customHeight="1" spans="1:8" x14ac:dyDescent="0.25">
      <c r="A2" s="10" t="s">
        <v>242</v>
      </c>
      <c r="B2" s="10" t="s">
        <v>526</v>
      </c>
      <c r="C2" s="10" t="s">
        <v>527</v>
      </c>
      <c r="D2" s="10" t="s">
        <v>528</v>
      </c>
      <c r="E2" s="10" t="s">
        <v>529</v>
      </c>
      <c r="F2" s="10" t="s">
        <v>76</v>
      </c>
      <c r="G2" s="10" t="s">
        <v>76</v>
      </c>
      <c r="H2" s="13">
        <f>SUMPRODUCT(--ISNUMBER(SEARCH("|"&amp;$A2&amp;"|","|"&amp;Anchor_Core_Set!$K$2:$K$68&amp;"|")))</f>
        <v>10</v>
      </c>
    </row>
    <row r="3" ht="15" customHeight="1" spans="1:8" x14ac:dyDescent="0.25">
      <c r="A3" s="10" t="s">
        <v>530</v>
      </c>
      <c r="B3" s="10" t="s">
        <v>526</v>
      </c>
      <c r="C3" s="10" t="s">
        <v>531</v>
      </c>
      <c r="D3" s="10" t="s">
        <v>532</v>
      </c>
      <c r="E3" s="10" t="s">
        <v>533</v>
      </c>
      <c r="F3" s="10" t="s">
        <v>76</v>
      </c>
      <c r="G3" s="10" t="s">
        <v>76</v>
      </c>
      <c r="H3" s="13">
        <f>SUMPRODUCT(--ISNUMBER(SEARCH("|"&amp;$A3&amp;"|","|"&amp;Anchor_Core_Set!$K$2:$K$68&amp;"|")))</f>
        <v>1</v>
      </c>
    </row>
    <row r="4" ht="15" customHeight="1" spans="1:8" x14ac:dyDescent="0.25">
      <c r="A4" s="10" t="s">
        <v>269</v>
      </c>
      <c r="B4" s="10" t="s">
        <v>526</v>
      </c>
      <c r="C4" s="10" t="s">
        <v>534</v>
      </c>
      <c r="D4" s="10" t="s">
        <v>535</v>
      </c>
      <c r="E4" s="10" t="s">
        <v>536</v>
      </c>
      <c r="F4" s="10" t="s">
        <v>76</v>
      </c>
      <c r="G4" s="10" t="s">
        <v>76</v>
      </c>
      <c r="H4" s="13">
        <f>SUMPRODUCT(--ISNUMBER(SEARCH("|"&amp;$A4&amp;"|","|"&amp;Anchor_Core_Set!$K$2:$K$68&amp;"|")))</f>
        <v>4</v>
      </c>
    </row>
    <row r="5" ht="15" customHeight="1" spans="1:8" x14ac:dyDescent="0.25">
      <c r="A5" s="10" t="s">
        <v>217</v>
      </c>
      <c r="B5" s="10" t="s">
        <v>526</v>
      </c>
      <c r="C5" s="10" t="s">
        <v>537</v>
      </c>
      <c r="D5" s="10" t="s">
        <v>538</v>
      </c>
      <c r="E5" s="10" t="s">
        <v>539</v>
      </c>
      <c r="F5" s="10" t="s">
        <v>76</v>
      </c>
      <c r="G5" s="10" t="s">
        <v>76</v>
      </c>
      <c r="H5" s="13">
        <f>SUMPRODUCT(--ISNUMBER(SEARCH("|"&amp;$A5&amp;"|","|"&amp;Anchor_Core_Set!$K$2:$K$68&amp;"|")))</f>
        <v>3</v>
      </c>
    </row>
    <row r="6" ht="15" customHeight="1" spans="1:8" x14ac:dyDescent="0.25">
      <c r="A6" s="10" t="s">
        <v>540</v>
      </c>
      <c r="B6" s="10" t="s">
        <v>526</v>
      </c>
      <c r="C6" s="10" t="s">
        <v>541</v>
      </c>
      <c r="D6" s="10" t="s">
        <v>542</v>
      </c>
      <c r="E6" s="10" t="s">
        <v>543</v>
      </c>
      <c r="F6" s="10" t="s">
        <v>76</v>
      </c>
      <c r="G6" s="10" t="s">
        <v>76</v>
      </c>
      <c r="H6" s="13">
        <f>SUMPRODUCT(--ISNUMBER(SEARCH("|"&amp;$A6&amp;"|","|"&amp;Anchor_Core_Set!$K$2:$K$68&amp;"|")))</f>
        <v>1</v>
      </c>
    </row>
    <row r="7" ht="15" customHeight="1" spans="1:8" x14ac:dyDescent="0.25">
      <c r="A7" s="10" t="s">
        <v>544</v>
      </c>
      <c r="B7" s="10" t="s">
        <v>526</v>
      </c>
      <c r="C7" s="10" t="s">
        <v>545</v>
      </c>
      <c r="D7" s="10" t="s">
        <v>546</v>
      </c>
      <c r="E7" s="10" t="s">
        <v>547</v>
      </c>
      <c r="F7" s="10" t="s">
        <v>76</v>
      </c>
      <c r="G7" s="10" t="s">
        <v>76</v>
      </c>
      <c r="H7" s="13">
        <f>SUMPRODUCT(--ISNUMBER(SEARCH("|"&amp;$A7&amp;"|","|"&amp;Anchor_Core_Set!$K$2:$K$68&amp;"|")))</f>
        <v>4</v>
      </c>
    </row>
    <row r="8" ht="15" customHeight="1" spans="1:8" x14ac:dyDescent="0.25">
      <c r="A8" s="10" t="s">
        <v>176</v>
      </c>
      <c r="B8" s="10" t="s">
        <v>526</v>
      </c>
      <c r="C8" s="10" t="s">
        <v>548</v>
      </c>
      <c r="D8" s="10" t="s">
        <v>549</v>
      </c>
      <c r="E8" s="10" t="s">
        <v>550</v>
      </c>
      <c r="F8" s="10" t="s">
        <v>76</v>
      </c>
      <c r="G8" s="10" t="s">
        <v>76</v>
      </c>
      <c r="H8" s="13">
        <f>SUMPRODUCT(--ISNUMBER(SEARCH("|"&amp;$A8&amp;"|","|"&amp;Anchor_Core_Set!$K$2:$K$68&amp;"|")))</f>
        <v>2</v>
      </c>
    </row>
    <row r="9" ht="15" customHeight="1" spans="1:8" x14ac:dyDescent="0.25">
      <c r="A9" s="10" t="s">
        <v>551</v>
      </c>
      <c r="B9" s="10" t="s">
        <v>526</v>
      </c>
      <c r="C9" s="10" t="s">
        <v>552</v>
      </c>
      <c r="D9" s="10" t="s">
        <v>553</v>
      </c>
      <c r="E9" s="10" t="s">
        <v>554</v>
      </c>
      <c r="F9" s="10" t="s">
        <v>76</v>
      </c>
      <c r="G9" s="10" t="s">
        <v>76</v>
      </c>
      <c r="H9" s="13">
        <f>SUMPRODUCT(--ISNUMBER(SEARCH("|"&amp;$A9&amp;"|","|"&amp;Anchor_Core_Set!$K$2:$K$68&amp;"|")))</f>
        <v>0</v>
      </c>
    </row>
    <row r="10" ht="15" customHeight="1" spans="1:8" x14ac:dyDescent="0.25">
      <c r="A10" s="10" t="s">
        <v>159</v>
      </c>
      <c r="B10" s="10" t="s">
        <v>526</v>
      </c>
      <c r="C10" s="10" t="s">
        <v>555</v>
      </c>
      <c r="D10" s="10" t="s">
        <v>556</v>
      </c>
      <c r="E10" s="10" t="s">
        <v>557</v>
      </c>
      <c r="F10" s="10" t="s">
        <v>76</v>
      </c>
      <c r="G10" s="10" t="s">
        <v>76</v>
      </c>
      <c r="H10" s="13">
        <f>SUMPRODUCT(--ISNUMBER(SEARCH("|"&amp;$A10&amp;"|","|"&amp;Anchor_Core_Set!$K$2:$K$68&amp;"|")))</f>
        <v>1</v>
      </c>
    </row>
    <row r="11" ht="15" customHeight="1" spans="1:8" x14ac:dyDescent="0.25">
      <c r="A11" s="10" t="s">
        <v>355</v>
      </c>
      <c r="B11" s="10" t="s">
        <v>526</v>
      </c>
      <c r="C11" s="10" t="s">
        <v>354</v>
      </c>
      <c r="D11" s="10" t="s">
        <v>558</v>
      </c>
      <c r="E11" s="10" t="s">
        <v>559</v>
      </c>
      <c r="F11" s="10" t="s">
        <v>76</v>
      </c>
      <c r="G11" s="10" t="s">
        <v>76</v>
      </c>
      <c r="H11" s="13">
        <f>SUMPRODUCT(--ISNUMBER(SEARCH("|"&amp;$A11&amp;"|","|"&amp;Anchor_Core_Set!$K$2:$K$68&amp;"|")))</f>
        <v>1</v>
      </c>
    </row>
    <row r="12" ht="15" customHeight="1" spans="1:8" x14ac:dyDescent="0.25">
      <c r="A12" s="10" t="s">
        <v>108</v>
      </c>
      <c r="B12" s="10" t="s">
        <v>526</v>
      </c>
      <c r="C12" s="10" t="s">
        <v>560</v>
      </c>
      <c r="D12" s="10" t="s">
        <v>561</v>
      </c>
      <c r="E12" s="10" t="s">
        <v>562</v>
      </c>
      <c r="F12" s="10" t="s">
        <v>76</v>
      </c>
      <c r="G12" s="10" t="s">
        <v>76</v>
      </c>
      <c r="H12" s="13">
        <f>SUMPRODUCT(--ISNUMBER(SEARCH("|"&amp;$A12&amp;"|","|"&amp;Anchor_Core_Set!$K$2:$K$68&amp;"|")))</f>
        <v>7</v>
      </c>
    </row>
    <row r="13" ht="15" customHeight="1" spans="1:8" x14ac:dyDescent="0.25">
      <c r="A13" s="10" t="s">
        <v>419</v>
      </c>
      <c r="B13" s="10" t="s">
        <v>526</v>
      </c>
      <c r="C13" s="10" t="s">
        <v>503</v>
      </c>
      <c r="D13" s="10" t="s">
        <v>563</v>
      </c>
      <c r="E13" s="10" t="s">
        <v>564</v>
      </c>
      <c r="F13" s="10" t="s">
        <v>76</v>
      </c>
      <c r="G13" s="10" t="s">
        <v>76</v>
      </c>
      <c r="H13" s="13">
        <f>SUMPRODUCT(--ISNUMBER(SEARCH("|"&amp;$A13&amp;"|","|"&amp;Anchor_Core_Set!$K$2:$K$68&amp;"|")))</f>
        <v>5</v>
      </c>
    </row>
    <row r="14" ht="15" customHeight="1" spans="1:8" x14ac:dyDescent="0.25">
      <c r="A14" s="10" t="s">
        <v>441</v>
      </c>
      <c r="B14" s="10" t="s">
        <v>526</v>
      </c>
      <c r="C14" s="10" t="s">
        <v>565</v>
      </c>
      <c r="D14" s="10" t="s">
        <v>566</v>
      </c>
      <c r="E14" s="10" t="s">
        <v>567</v>
      </c>
      <c r="F14" s="10" t="s">
        <v>76</v>
      </c>
      <c r="G14" s="10" t="s">
        <v>76</v>
      </c>
      <c r="H14" s="13">
        <f>SUMPRODUCT(--ISNUMBER(SEARCH("|"&amp;$A14&amp;"|","|"&amp;Anchor_Core_Set!$K$2:$K$68&amp;"|")))</f>
        <v>10</v>
      </c>
    </row>
    <row r="15" ht="15" customHeight="1" spans="1:8" x14ac:dyDescent="0.25">
      <c r="A15" s="10" t="s">
        <v>184</v>
      </c>
      <c r="B15" s="10" t="s">
        <v>526</v>
      </c>
      <c r="C15" s="10" t="s">
        <v>568</v>
      </c>
      <c r="D15" s="10" t="s">
        <v>569</v>
      </c>
      <c r="E15" s="10" t="s">
        <v>570</v>
      </c>
      <c r="F15" s="10" t="s">
        <v>76</v>
      </c>
      <c r="G15" s="10" t="s">
        <v>76</v>
      </c>
      <c r="H15" s="13">
        <f>SUMPRODUCT(--ISNUMBER(SEARCH("|"&amp;$A15&amp;"|","|"&amp;Anchor_Core_Set!$K$2:$K$68&amp;"|")))</f>
        <v>2</v>
      </c>
    </row>
    <row r="16" ht="15" customHeight="1" spans="1:8" x14ac:dyDescent="0.25">
      <c r="A16" s="10" t="s">
        <v>571</v>
      </c>
      <c r="B16" s="10" t="s">
        <v>526</v>
      </c>
      <c r="C16" s="10" t="s">
        <v>572</v>
      </c>
      <c r="D16" s="10" t="s">
        <v>573</v>
      </c>
      <c r="E16" s="10" t="s">
        <v>574</v>
      </c>
      <c r="F16" s="10" t="s">
        <v>76</v>
      </c>
      <c r="G16" s="10" t="s">
        <v>76</v>
      </c>
      <c r="H16" s="13">
        <f>SUMPRODUCT(--ISNUMBER(SEARCH("|"&amp;$A16&amp;"|","|"&amp;Anchor_Core_Set!$K$2:$K$68&amp;"|")))</f>
        <v>0</v>
      </c>
    </row>
    <row r="17" ht="15" customHeight="1" spans="1:8" x14ac:dyDescent="0.25">
      <c r="A17" s="10" t="s">
        <v>575</v>
      </c>
      <c r="B17" s="10" t="s">
        <v>526</v>
      </c>
      <c r="C17" s="10" t="s">
        <v>576</v>
      </c>
      <c r="D17" s="10" t="s">
        <v>577</v>
      </c>
      <c r="E17" s="10" t="s">
        <v>578</v>
      </c>
      <c r="F17" s="10" t="s">
        <v>76</v>
      </c>
      <c r="G17" s="10" t="s">
        <v>76</v>
      </c>
      <c r="H17" s="13">
        <f>SUMPRODUCT(--ISNUMBER(SEARCH("|"&amp;$A17&amp;"|","|"&amp;Anchor_Core_Set!$K$2:$K$68&amp;"|")))</f>
        <v>5</v>
      </c>
    </row>
    <row r="18" ht="15" customHeight="1" spans="1:8" x14ac:dyDescent="0.25">
      <c r="A18" s="10" t="s">
        <v>579</v>
      </c>
      <c r="B18" s="10" t="s">
        <v>526</v>
      </c>
      <c r="C18" s="10" t="s">
        <v>580</v>
      </c>
      <c r="D18" s="10" t="s">
        <v>581</v>
      </c>
      <c r="E18" s="10" t="s">
        <v>582</v>
      </c>
      <c r="F18" s="10" t="s">
        <v>76</v>
      </c>
      <c r="G18" s="10" t="s">
        <v>76</v>
      </c>
      <c r="H18" s="13">
        <f>SUMPRODUCT(--ISNUMBER(SEARCH("|"&amp;$A18&amp;"|","|"&amp;Anchor_Core_Set!$K$2:$K$68&amp;"|")))</f>
        <v>0</v>
      </c>
    </row>
    <row r="19" ht="15" customHeight="1" spans="1:8" x14ac:dyDescent="0.25">
      <c r="A19" s="10" t="s">
        <v>194</v>
      </c>
      <c r="B19" s="10" t="s">
        <v>583</v>
      </c>
      <c r="C19" s="10" t="s">
        <v>584</v>
      </c>
      <c r="D19" s="10"/>
      <c r="E19" s="10"/>
      <c r="F19" s="10" t="s">
        <v>585</v>
      </c>
      <c r="G19" s="10" t="s">
        <v>585</v>
      </c>
      <c r="H19" s="13">
        <f>SUMPRODUCT(--ISNUMBER(SEARCH("|"&amp;$A19&amp;"|","|"&amp;Anchor_Core_Set!$K$2:$K$68&amp;"|")))</f>
        <v>1</v>
      </c>
    </row>
    <row r="20" ht="15" customHeight="1" spans="1:8" x14ac:dyDescent="0.25">
      <c r="A20" s="10" t="s">
        <v>489</v>
      </c>
      <c r="B20" s="10" t="s">
        <v>583</v>
      </c>
      <c r="C20" s="10" t="s">
        <v>586</v>
      </c>
      <c r="D20" s="10"/>
      <c r="E20" s="10"/>
      <c r="F20" s="10" t="s">
        <v>585</v>
      </c>
      <c r="G20" s="10" t="s">
        <v>585</v>
      </c>
      <c r="H20" s="13">
        <f>SUMPRODUCT(--ISNUMBER(SEARCH("|"&amp;$A20&amp;"|","|"&amp;Anchor_Core_Set!$K$2:$K$68&amp;"|")))</f>
        <v>4</v>
      </c>
    </row>
    <row r="21" ht="15" customHeight="1" spans="1:8" x14ac:dyDescent="0.25">
      <c r="A21" s="10" t="s">
        <v>131</v>
      </c>
      <c r="B21" s="10" t="s">
        <v>583</v>
      </c>
      <c r="C21" s="10" t="s">
        <v>587</v>
      </c>
      <c r="D21" s="10"/>
      <c r="E21" s="10"/>
      <c r="F21" s="10" t="s">
        <v>585</v>
      </c>
      <c r="G21" s="10" t="s">
        <v>585</v>
      </c>
      <c r="H21" s="13">
        <f>SUMPRODUCT(--ISNUMBER(SEARCH("|"&amp;$A21&amp;"|","|"&amp;Anchor_Core_Set!$K$2:$K$68&amp;"|")))</f>
        <v>18</v>
      </c>
    </row>
    <row r="22" ht="15" customHeight="1" spans="1:8" x14ac:dyDescent="0.25">
      <c r="A22" s="10" t="s">
        <v>328</v>
      </c>
      <c r="B22" s="10" t="s">
        <v>583</v>
      </c>
      <c r="C22" s="10" t="s">
        <v>588</v>
      </c>
      <c r="D22" s="10"/>
      <c r="E22" s="10"/>
      <c r="F22" s="10" t="s">
        <v>585</v>
      </c>
      <c r="G22" s="10" t="s">
        <v>585</v>
      </c>
      <c r="H22" s="13">
        <f>SUMPRODUCT(--ISNUMBER(SEARCH("|"&amp;$A22&amp;"|","|"&amp;Anchor_Core_Set!$K$2:$K$68&amp;"|")))</f>
        <v>4</v>
      </c>
    </row>
    <row r="23" ht="15" customHeight="1" spans="1:8" x14ac:dyDescent="0.25">
      <c r="A23" s="10" t="s">
        <v>252</v>
      </c>
      <c r="B23" s="10" t="s">
        <v>583</v>
      </c>
      <c r="C23" s="10" t="s">
        <v>589</v>
      </c>
      <c r="D23" s="10"/>
      <c r="E23" s="10"/>
      <c r="F23" s="10" t="s">
        <v>585</v>
      </c>
      <c r="G23" s="10" t="s">
        <v>585</v>
      </c>
      <c r="H23" s="13">
        <f>SUMPRODUCT(--ISNUMBER(SEARCH("|"&amp;$A23&amp;"|","|"&amp;Anchor_Core_Set!$K$2:$K$68&amp;"|")))</f>
        <v>2</v>
      </c>
    </row>
    <row r="24" ht="15" customHeight="1" spans="1:8" x14ac:dyDescent="0.25">
      <c r="A24" s="10" t="s">
        <v>590</v>
      </c>
      <c r="B24" s="10" t="s">
        <v>583</v>
      </c>
      <c r="C24" s="10" t="s">
        <v>591</v>
      </c>
      <c r="D24" s="10"/>
      <c r="E24" s="10"/>
      <c r="F24" s="10" t="s">
        <v>585</v>
      </c>
      <c r="G24" s="10" t="s">
        <v>585</v>
      </c>
      <c r="H24" s="13">
        <f>SUMPRODUCT(--ISNUMBER(SEARCH("|"&amp;$A24&amp;"|","|"&amp;Anchor_Core_Set!$K$2:$K$68&amp;"|")))</f>
        <v>5</v>
      </c>
    </row>
    <row r="25" ht="15" customHeight="1" spans="1:8" x14ac:dyDescent="0.25">
      <c r="A25" s="10" t="s">
        <v>592</v>
      </c>
      <c r="B25" s="10" t="s">
        <v>583</v>
      </c>
      <c r="C25" s="10" t="s">
        <v>593</v>
      </c>
      <c r="D25" s="10"/>
      <c r="E25" s="10"/>
      <c r="F25" s="10" t="s">
        <v>585</v>
      </c>
      <c r="G25" s="10" t="s">
        <v>585</v>
      </c>
      <c r="H25" s="13">
        <f>SUMPRODUCT(--ISNUMBER(SEARCH("|"&amp;$A25&amp;"|","|"&amp;Anchor_Core_Set!$K$2:$K$68&amp;"|")))</f>
        <v>0</v>
      </c>
    </row>
    <row r="26" ht="15" customHeight="1" spans="1:8" x14ac:dyDescent="0.25">
      <c r="A26" s="10" t="s">
        <v>594</v>
      </c>
      <c r="B26" s="10" t="s">
        <v>583</v>
      </c>
      <c r="C26" s="10" t="s">
        <v>595</v>
      </c>
      <c r="D26" s="10"/>
      <c r="E26" s="10"/>
      <c r="F26" s="10" t="s">
        <v>585</v>
      </c>
      <c r="G26" s="10" t="s">
        <v>585</v>
      </c>
      <c r="H26" s="13">
        <f>SUMPRODUCT(--ISNUMBER(SEARCH("|"&amp;$A26&amp;"|","|"&amp;Anchor_Core_Set!$K$2:$K$68&amp;"|")))</f>
        <v>0</v>
      </c>
    </row>
    <row r="28" ht="15" customHeight="1" spans="1:1" x14ac:dyDescent="0.25">
      <c r="A28" s="2" t="s">
        <v>596</v>
      </c>
    </row>
    <row r="29" ht="15" customHeight="1" spans="1:1" x14ac:dyDescent="0.25">
      <c r="A29" s="16" t="s">
        <v>597</v>
      </c>
    </row>
    <row r="30" ht="15" customHeight="1" spans="1:1" x14ac:dyDescent="0.25">
      <c r="A30" s="2" t="s">
        <v>598</v>
      </c>
    </row>
  </sheetData>
  <autoFilter ref="A1:H26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6" customWidth="1"/>
    <col min="2" max="2" width="22" customWidth="1"/>
    <col min="3" max="3" width="34" customWidth="1"/>
    <col min="4" max="4" width="56" customWidth="1"/>
  </cols>
  <sheetData>
    <row r="1" ht="30" customHeight="1" spans="1:4" x14ac:dyDescent="0.25">
      <c r="A1" s="9" t="s">
        <v>599</v>
      </c>
      <c r="B1" s="9" t="s">
        <v>600</v>
      </c>
      <c r="C1" s="9" t="s">
        <v>601</v>
      </c>
      <c r="D1" s="9" t="s">
        <v>602</v>
      </c>
    </row>
    <row r="2" ht="15" customHeight="1" spans="1:4" x14ac:dyDescent="0.25">
      <c r="A2" s="10" t="s">
        <v>199</v>
      </c>
      <c r="B2" s="10">
        <v>2</v>
      </c>
      <c r="C2" s="10" t="s">
        <v>176</v>
      </c>
      <c r="D2" s="11" t="s">
        <v>603</v>
      </c>
    </row>
    <row r="3" ht="15" customHeight="1" spans="1:4" x14ac:dyDescent="0.25">
      <c r="A3" s="10" t="s">
        <v>503</v>
      </c>
      <c r="B3" s="10">
        <v>5</v>
      </c>
      <c r="C3" s="10" t="s">
        <v>419</v>
      </c>
      <c r="D3" s="11" t="s">
        <v>603</v>
      </c>
    </row>
    <row r="4" ht="15" customHeight="1" spans="1:4" x14ac:dyDescent="0.25">
      <c r="A4" s="10" t="s">
        <v>604</v>
      </c>
      <c r="B4" s="10">
        <v>5</v>
      </c>
      <c r="C4" s="10" t="s">
        <v>605</v>
      </c>
      <c r="D4" s="11" t="s">
        <v>606</v>
      </c>
    </row>
    <row r="5" ht="15" customHeight="1" spans="1:4" x14ac:dyDescent="0.25">
      <c r="A5" s="10" t="s">
        <v>607</v>
      </c>
      <c r="B5" s="10">
        <v>2</v>
      </c>
      <c r="C5" s="10" t="s">
        <v>328</v>
      </c>
      <c r="D5" s="11" t="s">
        <v>603</v>
      </c>
    </row>
    <row r="6" ht="15" customHeight="1" spans="1:4" x14ac:dyDescent="0.25">
      <c r="A6" s="10" t="s">
        <v>608</v>
      </c>
      <c r="B6" s="10">
        <v>7</v>
      </c>
      <c r="C6" s="10"/>
      <c r="D6" s="11" t="s">
        <v>609</v>
      </c>
    </row>
    <row r="7" ht="15" customHeight="1" spans="1:4" x14ac:dyDescent="0.25">
      <c r="A7" s="10" t="s">
        <v>158</v>
      </c>
      <c r="B7" s="10">
        <v>1</v>
      </c>
      <c r="C7" s="10" t="s">
        <v>159</v>
      </c>
      <c r="D7" s="11" t="s">
        <v>603</v>
      </c>
    </row>
    <row r="8" ht="15" customHeight="1" spans="1:4" x14ac:dyDescent="0.25">
      <c r="A8" s="10" t="s">
        <v>440</v>
      </c>
      <c r="B8" s="10">
        <v>10</v>
      </c>
      <c r="C8" s="10" t="s">
        <v>441</v>
      </c>
      <c r="D8" s="11" t="s">
        <v>603</v>
      </c>
    </row>
    <row r="9" ht="15" customHeight="1" spans="1:4" x14ac:dyDescent="0.25">
      <c r="A9" s="10" t="s">
        <v>263</v>
      </c>
      <c r="B9" s="10">
        <v>8</v>
      </c>
      <c r="C9" s="10" t="s">
        <v>242</v>
      </c>
      <c r="D9" s="11" t="s">
        <v>603</v>
      </c>
    </row>
    <row r="10" ht="15" customHeight="1" spans="1:4" x14ac:dyDescent="0.25">
      <c r="A10" s="10" t="s">
        <v>233</v>
      </c>
      <c r="B10" s="10">
        <v>1</v>
      </c>
      <c r="C10" s="10" t="s">
        <v>234</v>
      </c>
      <c r="D10" s="11" t="s">
        <v>606</v>
      </c>
    </row>
    <row r="11" ht="15" customHeight="1" spans="1:4" x14ac:dyDescent="0.25">
      <c r="A11" s="10" t="s">
        <v>488</v>
      </c>
      <c r="B11" s="10">
        <v>4</v>
      </c>
      <c r="C11" s="10" t="s">
        <v>489</v>
      </c>
      <c r="D11" s="11" t="s">
        <v>603</v>
      </c>
    </row>
    <row r="12" ht="15" customHeight="1" spans="1:4" x14ac:dyDescent="0.25">
      <c r="A12" s="10" t="s">
        <v>251</v>
      </c>
      <c r="B12" s="10">
        <v>5</v>
      </c>
      <c r="C12" s="10"/>
      <c r="D12" s="11" t="s">
        <v>610</v>
      </c>
    </row>
    <row r="13" ht="15" customHeight="1" spans="1:4" x14ac:dyDescent="0.25">
      <c r="A13" s="10" t="s">
        <v>611</v>
      </c>
      <c r="B13" s="10">
        <v>5</v>
      </c>
      <c r="C13" s="10" t="s">
        <v>131</v>
      </c>
      <c r="D13" s="11" t="s">
        <v>603</v>
      </c>
    </row>
    <row r="14" ht="15" customHeight="1" spans="1:4" x14ac:dyDescent="0.25">
      <c r="A14" s="10" t="s">
        <v>612</v>
      </c>
      <c r="B14" s="10">
        <v>1</v>
      </c>
      <c r="C14" s="10" t="s">
        <v>151</v>
      </c>
      <c r="D14" s="11" t="s">
        <v>606</v>
      </c>
    </row>
    <row r="15" ht="15" customHeight="1" spans="1:4" x14ac:dyDescent="0.25">
      <c r="A15" s="10" t="s">
        <v>183</v>
      </c>
      <c r="B15" s="10">
        <v>2</v>
      </c>
      <c r="C15" s="10" t="s">
        <v>184</v>
      </c>
      <c r="D15" s="11" t="s">
        <v>603</v>
      </c>
    </row>
    <row r="16" ht="15" customHeight="1" spans="1:4" x14ac:dyDescent="0.25">
      <c r="A16" s="10" t="s">
        <v>613</v>
      </c>
      <c r="B16" s="10">
        <v>1</v>
      </c>
      <c r="C16" s="10" t="s">
        <v>184</v>
      </c>
      <c r="D16" s="11" t="s">
        <v>603</v>
      </c>
    </row>
    <row r="17" ht="15" customHeight="1" spans="1:4" x14ac:dyDescent="0.25">
      <c r="A17" s="10" t="s">
        <v>614</v>
      </c>
      <c r="B17" s="10">
        <v>12</v>
      </c>
      <c r="C17" s="10" t="s">
        <v>131</v>
      </c>
      <c r="D17" s="11" t="s">
        <v>603</v>
      </c>
    </row>
    <row r="18" ht="15" customHeight="1" spans="1:4" x14ac:dyDescent="0.25">
      <c r="A18" s="10" t="s">
        <v>615</v>
      </c>
      <c r="B18" s="10">
        <v>1</v>
      </c>
      <c r="C18" s="10" t="s">
        <v>551</v>
      </c>
      <c r="D18" s="11" t="s">
        <v>603</v>
      </c>
    </row>
    <row r="19" ht="15" customHeight="1" spans="1:4" x14ac:dyDescent="0.25">
      <c r="A19" s="10" t="s">
        <v>616</v>
      </c>
      <c r="B19" s="10">
        <v>1</v>
      </c>
      <c r="C19" s="10" t="s">
        <v>540</v>
      </c>
      <c r="D19" s="11" t="s">
        <v>603</v>
      </c>
    </row>
    <row r="20" ht="15" customHeight="1" spans="1:4" x14ac:dyDescent="0.25">
      <c r="A20" s="10" t="s">
        <v>617</v>
      </c>
      <c r="B20" s="10">
        <v>4</v>
      </c>
      <c r="C20" s="10" t="s">
        <v>544</v>
      </c>
      <c r="D20" s="11" t="s">
        <v>603</v>
      </c>
    </row>
    <row r="21" ht="15" customHeight="1" spans="1:4" x14ac:dyDescent="0.25">
      <c r="A21" s="10" t="s">
        <v>354</v>
      </c>
      <c r="B21" s="10">
        <v>1</v>
      </c>
      <c r="C21" s="10" t="s">
        <v>355</v>
      </c>
      <c r="D21" s="11" t="s">
        <v>603</v>
      </c>
    </row>
    <row r="22" ht="15" customHeight="1" spans="1:4" x14ac:dyDescent="0.25">
      <c r="A22" s="10" t="s">
        <v>516</v>
      </c>
      <c r="B22" s="10">
        <v>4</v>
      </c>
      <c r="C22" s="10" t="s">
        <v>269</v>
      </c>
      <c r="D22" s="11" t="s">
        <v>603</v>
      </c>
    </row>
    <row r="23" ht="15" customHeight="1" spans="1:4" x14ac:dyDescent="0.25">
      <c r="A23" s="10" t="s">
        <v>618</v>
      </c>
      <c r="B23" s="10">
        <v>7</v>
      </c>
      <c r="C23" s="10" t="s">
        <v>108</v>
      </c>
      <c r="D23" s="11" t="s">
        <v>603</v>
      </c>
    </row>
    <row r="24" ht="15" customHeight="1" spans="1:4" x14ac:dyDescent="0.25">
      <c r="A24" s="10" t="s">
        <v>241</v>
      </c>
      <c r="B24" s="10">
        <v>17</v>
      </c>
      <c r="C24" s="10"/>
      <c r="D24" s="11" t="s">
        <v>609</v>
      </c>
    </row>
    <row r="25" ht="15" customHeight="1" spans="1:4" x14ac:dyDescent="0.25">
      <c r="A25" s="10" t="s">
        <v>193</v>
      </c>
      <c r="B25" s="10">
        <v>1</v>
      </c>
      <c r="C25" s="10" t="s">
        <v>194</v>
      </c>
      <c r="D25" s="11" t="s">
        <v>603</v>
      </c>
    </row>
    <row r="26" ht="15" customHeight="1" spans="1:4" x14ac:dyDescent="0.25">
      <c r="A26" s="10" t="s">
        <v>216</v>
      </c>
      <c r="B26" s="10">
        <v>3</v>
      </c>
      <c r="C26" s="10" t="s">
        <v>217</v>
      </c>
      <c r="D26" s="11" t="s">
        <v>603</v>
      </c>
    </row>
    <row r="27" ht="15" customHeight="1" spans="1:4" x14ac:dyDescent="0.25">
      <c r="A27" s="10" t="s">
        <v>619</v>
      </c>
      <c r="B27" s="10">
        <v>1</v>
      </c>
      <c r="C27" s="10" t="s">
        <v>620</v>
      </c>
      <c r="D27" s="11" t="s">
        <v>606</v>
      </c>
    </row>
  </sheetData>
  <autoFilter ref="A1:D27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2" customWidth="1"/>
    <col min="2" max="2" width="13" customWidth="1"/>
    <col min="3" max="3" width="30" customWidth="1"/>
    <col min="4" max="4" width="12" customWidth="1"/>
    <col min="5" max="5" width="38" customWidth="1"/>
    <col min="6" max="6" width="26" customWidth="1"/>
    <col min="7" max="8" width="10" customWidth="1"/>
    <col min="9" max="9" width="14" customWidth="1"/>
    <col min="10" max="10" width="12" customWidth="1"/>
    <col min="11" max="11" width="52" customWidth="1"/>
    <col min="12" max="12" width="26" customWidth="1"/>
    <col min="13" max="13" width="12" customWidth="1"/>
    <col min="14" max="14" width="38" customWidth="1"/>
    <col min="15" max="15" width="46" customWidth="1"/>
    <col min="16" max="16" width="13" customWidth="1"/>
    <col min="17" max="17" width="14" customWidth="1"/>
    <col min="18" max="18" width="13" customWidth="1"/>
  </cols>
  <sheetData>
    <row r="1" ht="30" customHeight="1" spans="1:18" x14ac:dyDescent="0.25">
      <c r="A1" s="9" t="s">
        <v>621</v>
      </c>
      <c r="B1" s="9" t="s">
        <v>78</v>
      </c>
      <c r="C1" s="9" t="s">
        <v>79</v>
      </c>
      <c r="D1" s="9" t="s">
        <v>622</v>
      </c>
      <c r="E1" s="9" t="s">
        <v>623</v>
      </c>
      <c r="F1" s="9" t="s">
        <v>624</v>
      </c>
      <c r="G1" s="9" t="s">
        <v>625</v>
      </c>
      <c r="H1" s="9" t="s">
        <v>626</v>
      </c>
      <c r="I1" s="9" t="s">
        <v>627</v>
      </c>
      <c r="J1" s="9" t="s">
        <v>85</v>
      </c>
      <c r="K1" s="9" t="s">
        <v>628</v>
      </c>
      <c r="L1" s="9" t="s">
        <v>629</v>
      </c>
      <c r="M1" s="9" t="s">
        <v>630</v>
      </c>
      <c r="N1" s="9" t="s">
        <v>631</v>
      </c>
      <c r="O1" s="9" t="s">
        <v>632</v>
      </c>
      <c r="P1" s="9" t="s">
        <v>633</v>
      </c>
      <c r="Q1" s="9" t="s">
        <v>634</v>
      </c>
      <c r="R1" s="9" t="s">
        <v>635</v>
      </c>
    </row>
    <row r="2" ht="35.05" customHeight="1" spans="1:18" x14ac:dyDescent="0.25">
      <c r="A2" s="10" t="s">
        <v>636</v>
      </c>
      <c r="B2" s="10" t="s">
        <v>100</v>
      </c>
      <c r="C2" s="10" t="s">
        <v>101</v>
      </c>
      <c r="D2" s="10">
        <v>1</v>
      </c>
      <c r="E2" s="10" t="s">
        <v>637</v>
      </c>
      <c r="F2" s="10" t="s">
        <v>638</v>
      </c>
      <c r="G2" s="10">
        <v>40</v>
      </c>
      <c r="H2" s="10">
        <v>161</v>
      </c>
      <c r="I2" s="10" t="s">
        <v>105</v>
      </c>
      <c r="J2" s="10" t="s">
        <v>106</v>
      </c>
      <c r="K2" s="11" t="s">
        <v>639</v>
      </c>
      <c r="L2" s="10" t="s">
        <v>640</v>
      </c>
      <c r="M2" s="10" t="s">
        <v>641</v>
      </c>
      <c r="N2" s="11" t="s">
        <v>642</v>
      </c>
      <c r="O2" s="11" t="s">
        <v>643</v>
      </c>
      <c r="P2" s="10" t="s">
        <v>644</v>
      </c>
      <c r="Q2" s="10" t="s">
        <v>645</v>
      </c>
      <c r="R2" s="10" t="s">
        <v>646</v>
      </c>
    </row>
    <row r="3" ht="35.05" customHeight="1" spans="1:18" x14ac:dyDescent="0.25">
      <c r="A3" s="10" t="s">
        <v>647</v>
      </c>
      <c r="B3" s="10" t="s">
        <v>100</v>
      </c>
      <c r="C3" s="10" t="s">
        <v>101</v>
      </c>
      <c r="D3" s="10">
        <v>1</v>
      </c>
      <c r="E3" s="10" t="s">
        <v>637</v>
      </c>
      <c r="F3" s="10" t="s">
        <v>648</v>
      </c>
      <c r="G3" s="10">
        <v>77</v>
      </c>
      <c r="H3" s="10">
        <v>921</v>
      </c>
      <c r="I3" s="10" t="s">
        <v>105</v>
      </c>
      <c r="J3" s="10" t="s">
        <v>106</v>
      </c>
      <c r="K3" s="11" t="s">
        <v>639</v>
      </c>
      <c r="L3" s="10" t="s">
        <v>640</v>
      </c>
      <c r="M3" s="10" t="s">
        <v>641</v>
      </c>
      <c r="N3" s="11" t="s">
        <v>642</v>
      </c>
      <c r="O3" s="11" t="s">
        <v>643</v>
      </c>
      <c r="P3" s="10" t="s">
        <v>644</v>
      </c>
      <c r="Q3" s="10" t="s">
        <v>645</v>
      </c>
      <c r="R3" s="10" t="s">
        <v>646</v>
      </c>
    </row>
    <row r="4" ht="35.05" customHeight="1" spans="1:18" x14ac:dyDescent="0.25">
      <c r="A4" s="10" t="s">
        <v>649</v>
      </c>
      <c r="B4" s="10" t="s">
        <v>650</v>
      </c>
      <c r="C4" s="10" t="s">
        <v>651</v>
      </c>
      <c r="D4" s="10">
        <v>0</v>
      </c>
      <c r="E4" s="10" t="s">
        <v>637</v>
      </c>
      <c r="F4" s="10" t="s">
        <v>652</v>
      </c>
      <c r="G4" s="10">
        <v>0.1</v>
      </c>
      <c r="H4" s="10">
        <v>2.4</v>
      </c>
      <c r="I4" s="10" t="s">
        <v>653</v>
      </c>
      <c r="J4" s="10" t="s">
        <v>654</v>
      </c>
      <c r="K4" s="11" t="s">
        <v>655</v>
      </c>
      <c r="L4" s="10" t="s">
        <v>656</v>
      </c>
      <c r="M4" s="10" t="s">
        <v>641</v>
      </c>
      <c r="N4" s="11" t="s">
        <v>657</v>
      </c>
      <c r="O4" s="11" t="s">
        <v>658</v>
      </c>
      <c r="P4" s="10" t="s">
        <v>644</v>
      </c>
      <c r="Q4" s="10" t="s">
        <v>659</v>
      </c>
      <c r="R4" s="10" t="s">
        <v>646</v>
      </c>
    </row>
    <row r="5" ht="35.05" customHeight="1" spans="1:18" x14ac:dyDescent="0.25">
      <c r="A5" s="10" t="s">
        <v>660</v>
      </c>
      <c r="B5" s="10" t="s">
        <v>661</v>
      </c>
      <c r="C5" s="10" t="s">
        <v>662</v>
      </c>
      <c r="D5" s="10">
        <v>0</v>
      </c>
      <c r="E5" s="10" t="s">
        <v>637</v>
      </c>
      <c r="F5" s="10" t="s">
        <v>652</v>
      </c>
      <c r="G5" s="10">
        <v>50</v>
      </c>
      <c r="H5" s="10">
        <v>110</v>
      </c>
      <c r="I5" s="10" t="s">
        <v>139</v>
      </c>
      <c r="J5" s="10" t="s">
        <v>140</v>
      </c>
      <c r="K5" s="11" t="s">
        <v>663</v>
      </c>
      <c r="L5" s="10" t="s">
        <v>656</v>
      </c>
      <c r="M5" s="10" t="s">
        <v>641</v>
      </c>
      <c r="N5" s="11" t="s">
        <v>657</v>
      </c>
      <c r="O5" s="11" t="s">
        <v>658</v>
      </c>
      <c r="P5" s="10" t="s">
        <v>644</v>
      </c>
      <c r="Q5" s="10" t="s">
        <v>659</v>
      </c>
      <c r="R5" s="10" t="s">
        <v>646</v>
      </c>
    </row>
    <row r="6" ht="35.05" customHeight="1" spans="1:18" x14ac:dyDescent="0.25">
      <c r="A6" s="10" t="s">
        <v>664</v>
      </c>
      <c r="B6" s="10" t="s">
        <v>665</v>
      </c>
      <c r="C6" s="10" t="s">
        <v>666</v>
      </c>
      <c r="D6" s="10">
        <v>0</v>
      </c>
      <c r="E6" s="10" t="s">
        <v>637</v>
      </c>
      <c r="F6" s="10" t="s">
        <v>652</v>
      </c>
      <c r="G6" s="10"/>
      <c r="H6" s="10">
        <v>67</v>
      </c>
      <c r="I6" s="10" t="s">
        <v>667</v>
      </c>
      <c r="J6" s="10" t="s">
        <v>668</v>
      </c>
      <c r="K6" s="11" t="s">
        <v>669</v>
      </c>
      <c r="L6" s="10" t="s">
        <v>656</v>
      </c>
      <c r="M6" s="10" t="s">
        <v>641</v>
      </c>
      <c r="N6" s="11" t="s">
        <v>657</v>
      </c>
      <c r="O6" s="11" t="s">
        <v>658</v>
      </c>
      <c r="P6" s="10" t="s">
        <v>644</v>
      </c>
      <c r="Q6" s="10" t="s">
        <v>659</v>
      </c>
      <c r="R6" s="10" t="s">
        <v>646</v>
      </c>
    </row>
    <row r="7" ht="35.05" customHeight="1" spans="1:18" x14ac:dyDescent="0.25">
      <c r="A7" s="10" t="s">
        <v>670</v>
      </c>
      <c r="B7" s="10" t="s">
        <v>671</v>
      </c>
      <c r="C7" s="10" t="s">
        <v>672</v>
      </c>
      <c r="D7" s="10">
        <v>0</v>
      </c>
      <c r="E7" s="10" t="s">
        <v>637</v>
      </c>
      <c r="F7" s="10" t="s">
        <v>673</v>
      </c>
      <c r="G7" s="10">
        <v>40</v>
      </c>
      <c r="H7" s="10">
        <v>150</v>
      </c>
      <c r="I7" s="10" t="s">
        <v>181</v>
      </c>
      <c r="J7" s="10" t="s">
        <v>182</v>
      </c>
      <c r="K7" s="11" t="s">
        <v>674</v>
      </c>
      <c r="L7" s="10" t="s">
        <v>656</v>
      </c>
      <c r="M7" s="10" t="s">
        <v>641</v>
      </c>
      <c r="N7" s="11" t="s">
        <v>657</v>
      </c>
      <c r="O7" s="11" t="s">
        <v>658</v>
      </c>
      <c r="P7" s="10" t="s">
        <v>644</v>
      </c>
      <c r="Q7" s="10" t="s">
        <v>659</v>
      </c>
      <c r="R7" s="10" t="s">
        <v>646</v>
      </c>
    </row>
    <row r="8" ht="35.05" customHeight="1" spans="1:18" x14ac:dyDescent="0.25">
      <c r="A8" s="10" t="s">
        <v>675</v>
      </c>
      <c r="B8" s="10" t="s">
        <v>676</v>
      </c>
      <c r="C8" s="10" t="s">
        <v>677</v>
      </c>
      <c r="D8" s="10">
        <v>0</v>
      </c>
      <c r="E8" s="10" t="s">
        <v>637</v>
      </c>
      <c r="F8" s="10" t="s">
        <v>678</v>
      </c>
      <c r="G8" s="10">
        <v>0.4</v>
      </c>
      <c r="H8" s="10">
        <v>3.4</v>
      </c>
      <c r="I8" s="10" t="s">
        <v>117</v>
      </c>
      <c r="J8" s="10" t="s">
        <v>118</v>
      </c>
      <c r="K8" s="11" t="s">
        <v>679</v>
      </c>
      <c r="L8" s="10" t="s">
        <v>656</v>
      </c>
      <c r="M8" s="10" t="s">
        <v>641</v>
      </c>
      <c r="N8" s="11" t="s">
        <v>657</v>
      </c>
      <c r="O8" s="11" t="s">
        <v>658</v>
      </c>
      <c r="P8" s="10" t="s">
        <v>644</v>
      </c>
      <c r="Q8" s="10" t="s">
        <v>659</v>
      </c>
      <c r="R8" s="10" t="s">
        <v>646</v>
      </c>
    </row>
    <row r="9" ht="35.05" customHeight="1" spans="1:18" x14ac:dyDescent="0.25">
      <c r="A9" s="10" t="s">
        <v>680</v>
      </c>
      <c r="B9" s="10" t="s">
        <v>676</v>
      </c>
      <c r="C9" s="10" t="s">
        <v>677</v>
      </c>
      <c r="D9" s="10">
        <v>0</v>
      </c>
      <c r="E9" s="10" t="s">
        <v>637</v>
      </c>
      <c r="F9" s="10" t="s">
        <v>681</v>
      </c>
      <c r="G9" s="10"/>
      <c r="H9" s="10">
        <v>2.11</v>
      </c>
      <c r="I9" s="10" t="s">
        <v>117</v>
      </c>
      <c r="J9" s="10" t="s">
        <v>118</v>
      </c>
      <c r="K9" s="11" t="s">
        <v>679</v>
      </c>
      <c r="L9" s="10" t="s">
        <v>656</v>
      </c>
      <c r="M9" s="10" t="s">
        <v>641</v>
      </c>
      <c r="N9" s="11" t="s">
        <v>657</v>
      </c>
      <c r="O9" s="11" t="s">
        <v>658</v>
      </c>
      <c r="P9" s="10" t="s">
        <v>644</v>
      </c>
      <c r="Q9" s="10" t="s">
        <v>659</v>
      </c>
      <c r="R9" s="10" t="s">
        <v>646</v>
      </c>
    </row>
    <row r="10" ht="35.05" customHeight="1" spans="1:18" x14ac:dyDescent="0.25">
      <c r="A10" s="10" t="s">
        <v>682</v>
      </c>
      <c r="B10" s="10" t="s">
        <v>676</v>
      </c>
      <c r="C10" s="10" t="s">
        <v>677</v>
      </c>
      <c r="D10" s="10">
        <v>0</v>
      </c>
      <c r="E10" s="10" t="s">
        <v>637</v>
      </c>
      <c r="F10" s="10" t="s">
        <v>638</v>
      </c>
      <c r="G10" s="10">
        <v>0.5</v>
      </c>
      <c r="H10" s="10">
        <v>3.5</v>
      </c>
      <c r="I10" s="10" t="s">
        <v>117</v>
      </c>
      <c r="J10" s="10" t="s">
        <v>118</v>
      </c>
      <c r="K10" s="11" t="s">
        <v>679</v>
      </c>
      <c r="L10" s="10" t="s">
        <v>656</v>
      </c>
      <c r="M10" s="10" t="s">
        <v>641</v>
      </c>
      <c r="N10" s="11" t="s">
        <v>657</v>
      </c>
      <c r="O10" s="11" t="s">
        <v>658</v>
      </c>
      <c r="P10" s="10" t="s">
        <v>644</v>
      </c>
      <c r="Q10" s="10" t="s">
        <v>659</v>
      </c>
      <c r="R10" s="10" t="s">
        <v>646</v>
      </c>
    </row>
    <row r="11" ht="35.05" customHeight="1" spans="1:18" x14ac:dyDescent="0.25">
      <c r="A11" s="10" t="s">
        <v>683</v>
      </c>
      <c r="B11" s="10" t="s">
        <v>684</v>
      </c>
      <c r="C11" s="10" t="s">
        <v>685</v>
      </c>
      <c r="D11" s="10">
        <v>0</v>
      </c>
      <c r="E11" s="10" t="s">
        <v>637</v>
      </c>
      <c r="F11" s="10" t="s">
        <v>652</v>
      </c>
      <c r="G11" s="10">
        <v>2.2</v>
      </c>
      <c r="H11" s="10"/>
      <c r="I11" s="10" t="s">
        <v>686</v>
      </c>
      <c r="J11" s="10" t="s">
        <v>687</v>
      </c>
      <c r="K11" s="11" t="s">
        <v>688</v>
      </c>
      <c r="L11" s="10" t="s">
        <v>656</v>
      </c>
      <c r="M11" s="10" t="s">
        <v>641</v>
      </c>
      <c r="N11" s="11" t="s">
        <v>657</v>
      </c>
      <c r="O11" s="11" t="s">
        <v>658</v>
      </c>
      <c r="P11" s="10" t="s">
        <v>644</v>
      </c>
      <c r="Q11" s="10" t="s">
        <v>659</v>
      </c>
      <c r="R11" s="10" t="s">
        <v>646</v>
      </c>
    </row>
    <row r="12" ht="35.05" customHeight="1" spans="1:18" x14ac:dyDescent="0.25">
      <c r="A12" s="10" t="s">
        <v>689</v>
      </c>
      <c r="B12" s="10" t="s">
        <v>690</v>
      </c>
      <c r="C12" s="10" t="s">
        <v>691</v>
      </c>
      <c r="D12" s="10">
        <v>0</v>
      </c>
      <c r="E12" s="10" t="s">
        <v>637</v>
      </c>
      <c r="F12" s="10" t="s">
        <v>692</v>
      </c>
      <c r="G12" s="10">
        <v>1</v>
      </c>
      <c r="H12" s="10"/>
      <c r="I12" s="10" t="s">
        <v>239</v>
      </c>
      <c r="J12" s="10" t="s">
        <v>240</v>
      </c>
      <c r="K12" s="11" t="s">
        <v>693</v>
      </c>
      <c r="L12" s="10" t="s">
        <v>656</v>
      </c>
      <c r="M12" s="10" t="s">
        <v>641</v>
      </c>
      <c r="N12" s="11" t="s">
        <v>657</v>
      </c>
      <c r="O12" s="11" t="s">
        <v>658</v>
      </c>
      <c r="P12" s="10" t="s">
        <v>644</v>
      </c>
      <c r="Q12" s="10" t="s">
        <v>659</v>
      </c>
      <c r="R12" s="10" t="s">
        <v>646</v>
      </c>
    </row>
    <row r="13" ht="35.05" customHeight="1" spans="1:18" x14ac:dyDescent="0.25">
      <c r="A13" s="10" t="s">
        <v>694</v>
      </c>
      <c r="B13" s="10" t="s">
        <v>695</v>
      </c>
      <c r="C13" s="10" t="s">
        <v>696</v>
      </c>
      <c r="D13" s="10">
        <v>0</v>
      </c>
      <c r="E13" s="10" t="s">
        <v>637</v>
      </c>
      <c r="F13" s="10" t="s">
        <v>652</v>
      </c>
      <c r="G13" s="10">
        <v>2.5</v>
      </c>
      <c r="H13" s="10"/>
      <c r="I13" s="10" t="s">
        <v>697</v>
      </c>
      <c r="J13" s="10" t="s">
        <v>294</v>
      </c>
      <c r="K13" s="11" t="s">
        <v>698</v>
      </c>
      <c r="L13" s="10" t="s">
        <v>656</v>
      </c>
      <c r="M13" s="10" t="s">
        <v>641</v>
      </c>
      <c r="N13" s="11" t="s">
        <v>657</v>
      </c>
      <c r="O13" s="11" t="s">
        <v>658</v>
      </c>
      <c r="P13" s="10" t="s">
        <v>644</v>
      </c>
      <c r="Q13" s="10" t="s">
        <v>659</v>
      </c>
      <c r="R13" s="10" t="s">
        <v>646</v>
      </c>
    </row>
    <row r="14" ht="35.05" customHeight="1" spans="1:18" x14ac:dyDescent="0.25">
      <c r="A14" s="10" t="s">
        <v>699</v>
      </c>
      <c r="B14" s="10" t="s">
        <v>700</v>
      </c>
      <c r="C14" s="10" t="s">
        <v>701</v>
      </c>
      <c r="D14" s="10">
        <v>0</v>
      </c>
      <c r="E14" s="10" t="s">
        <v>637</v>
      </c>
      <c r="F14" s="10" t="s">
        <v>652</v>
      </c>
      <c r="G14" s="10">
        <v>18.3</v>
      </c>
      <c r="H14" s="10">
        <v>31.4</v>
      </c>
      <c r="I14" s="10" t="s">
        <v>117</v>
      </c>
      <c r="J14" s="10" t="s">
        <v>118</v>
      </c>
      <c r="K14" s="11" t="s">
        <v>702</v>
      </c>
      <c r="L14" s="10" t="s">
        <v>656</v>
      </c>
      <c r="M14" s="10" t="s">
        <v>641</v>
      </c>
      <c r="N14" s="11" t="s">
        <v>657</v>
      </c>
      <c r="O14" s="11" t="s">
        <v>658</v>
      </c>
      <c r="P14" s="10" t="s">
        <v>644</v>
      </c>
      <c r="Q14" s="10" t="s">
        <v>659</v>
      </c>
      <c r="R14" s="10" t="s">
        <v>646</v>
      </c>
    </row>
    <row r="15" ht="35.05" customHeight="1" spans="1:18" x14ac:dyDescent="0.25">
      <c r="A15" s="10" t="s">
        <v>703</v>
      </c>
      <c r="B15" s="10" t="s">
        <v>704</v>
      </c>
      <c r="C15" s="10" t="s">
        <v>705</v>
      </c>
      <c r="D15" s="10">
        <v>0</v>
      </c>
      <c r="E15" s="10" t="s">
        <v>637</v>
      </c>
      <c r="F15" s="10" t="s">
        <v>652</v>
      </c>
      <c r="G15" s="10">
        <v>8</v>
      </c>
      <c r="H15" s="10">
        <v>60</v>
      </c>
      <c r="I15" s="10" t="s">
        <v>706</v>
      </c>
      <c r="J15" s="10" t="s">
        <v>706</v>
      </c>
      <c r="K15" s="11" t="s">
        <v>707</v>
      </c>
      <c r="L15" s="10" t="s">
        <v>656</v>
      </c>
      <c r="M15" s="10" t="s">
        <v>641</v>
      </c>
      <c r="N15" s="11" t="s">
        <v>657</v>
      </c>
      <c r="O15" s="11" t="s">
        <v>658</v>
      </c>
      <c r="P15" s="10" t="s">
        <v>644</v>
      </c>
      <c r="Q15" s="10" t="s">
        <v>659</v>
      </c>
      <c r="R15" s="10" t="s">
        <v>646</v>
      </c>
    </row>
    <row r="16" ht="35.05" customHeight="1" spans="1:18" x14ac:dyDescent="0.25">
      <c r="A16" s="10" t="s">
        <v>708</v>
      </c>
      <c r="B16" s="10" t="s">
        <v>709</v>
      </c>
      <c r="C16" s="10" t="s">
        <v>710</v>
      </c>
      <c r="D16" s="10">
        <v>0</v>
      </c>
      <c r="E16" s="10" t="s">
        <v>637</v>
      </c>
      <c r="F16" s="10" t="s">
        <v>692</v>
      </c>
      <c r="G16" s="10">
        <v>0.2</v>
      </c>
      <c r="H16" s="10">
        <v>1.2</v>
      </c>
      <c r="I16" s="10" t="s">
        <v>167</v>
      </c>
      <c r="J16" s="10" t="s">
        <v>168</v>
      </c>
      <c r="K16" s="11" t="s">
        <v>711</v>
      </c>
      <c r="L16" s="10" t="s">
        <v>656</v>
      </c>
      <c r="M16" s="10" t="s">
        <v>641</v>
      </c>
      <c r="N16" s="11" t="s">
        <v>657</v>
      </c>
      <c r="O16" s="11" t="s">
        <v>658</v>
      </c>
      <c r="P16" s="10" t="s">
        <v>644</v>
      </c>
      <c r="Q16" s="10" t="s">
        <v>659</v>
      </c>
      <c r="R16" s="10" t="s">
        <v>646</v>
      </c>
    </row>
    <row r="17" ht="35.05" customHeight="1" spans="1:18" x14ac:dyDescent="0.25">
      <c r="A17" s="10" t="s">
        <v>712</v>
      </c>
      <c r="B17" s="10" t="s">
        <v>713</v>
      </c>
      <c r="C17" s="10" t="s">
        <v>714</v>
      </c>
      <c r="D17" s="10">
        <v>0</v>
      </c>
      <c r="E17" s="10" t="s">
        <v>637</v>
      </c>
      <c r="F17" s="10" t="s">
        <v>652</v>
      </c>
      <c r="G17" s="10"/>
      <c r="H17" s="10">
        <v>28</v>
      </c>
      <c r="I17" s="10" t="s">
        <v>139</v>
      </c>
      <c r="J17" s="10" t="s">
        <v>140</v>
      </c>
      <c r="K17" s="11" t="s">
        <v>715</v>
      </c>
      <c r="L17" s="10" t="s">
        <v>656</v>
      </c>
      <c r="M17" s="10" t="s">
        <v>641</v>
      </c>
      <c r="N17" s="11" t="s">
        <v>657</v>
      </c>
      <c r="O17" s="11" t="s">
        <v>658</v>
      </c>
      <c r="P17" s="10" t="s">
        <v>644</v>
      </c>
      <c r="Q17" s="10" t="s">
        <v>659</v>
      </c>
      <c r="R17" s="10" t="s">
        <v>646</v>
      </c>
    </row>
    <row r="18" ht="35.05" customHeight="1" spans="1:18" x14ac:dyDescent="0.25">
      <c r="A18" s="10" t="s">
        <v>716</v>
      </c>
      <c r="B18" s="10" t="s">
        <v>135</v>
      </c>
      <c r="C18" s="10" t="s">
        <v>136</v>
      </c>
      <c r="D18" s="10">
        <v>1</v>
      </c>
      <c r="E18" s="10" t="s">
        <v>637</v>
      </c>
      <c r="F18" s="10" t="s">
        <v>652</v>
      </c>
      <c r="G18" s="10">
        <v>37.4</v>
      </c>
      <c r="H18" s="10">
        <v>101</v>
      </c>
      <c r="I18" s="10" t="s">
        <v>139</v>
      </c>
      <c r="J18" s="10" t="s">
        <v>140</v>
      </c>
      <c r="K18" s="11" t="s">
        <v>717</v>
      </c>
      <c r="L18" s="10" t="s">
        <v>656</v>
      </c>
      <c r="M18" s="10" t="s">
        <v>641</v>
      </c>
      <c r="N18" s="11" t="s">
        <v>657</v>
      </c>
      <c r="O18" s="11" t="s">
        <v>658</v>
      </c>
      <c r="P18" s="10" t="s">
        <v>644</v>
      </c>
      <c r="Q18" s="10" t="s">
        <v>659</v>
      </c>
      <c r="R18" s="10" t="s">
        <v>646</v>
      </c>
    </row>
    <row r="19" ht="35.05" customHeight="1" spans="1:18" x14ac:dyDescent="0.25">
      <c r="A19" s="10" t="s">
        <v>718</v>
      </c>
      <c r="B19" s="10" t="s">
        <v>719</v>
      </c>
      <c r="C19" s="10" t="s">
        <v>720</v>
      </c>
      <c r="D19" s="10">
        <v>0</v>
      </c>
      <c r="E19" s="10" t="s">
        <v>637</v>
      </c>
      <c r="F19" s="10" t="s">
        <v>652</v>
      </c>
      <c r="G19" s="10"/>
      <c r="H19" s="10">
        <v>0.6</v>
      </c>
      <c r="I19" s="10" t="s">
        <v>139</v>
      </c>
      <c r="J19" s="10" t="s">
        <v>140</v>
      </c>
      <c r="K19" s="11" t="s">
        <v>721</v>
      </c>
      <c r="L19" s="10" t="s">
        <v>656</v>
      </c>
      <c r="M19" s="10" t="s">
        <v>641</v>
      </c>
      <c r="N19" s="11" t="s">
        <v>657</v>
      </c>
      <c r="O19" s="11" t="s">
        <v>658</v>
      </c>
      <c r="P19" s="10" t="s">
        <v>644</v>
      </c>
      <c r="Q19" s="10" t="s">
        <v>659</v>
      </c>
      <c r="R19" s="10" t="s">
        <v>646</v>
      </c>
    </row>
    <row r="20" ht="35.05" customHeight="1" spans="1:18" x14ac:dyDescent="0.25">
      <c r="A20" s="10" t="s">
        <v>722</v>
      </c>
      <c r="B20" s="10" t="s">
        <v>144</v>
      </c>
      <c r="C20" s="10" t="s">
        <v>145</v>
      </c>
      <c r="D20" s="10">
        <v>1</v>
      </c>
      <c r="E20" s="10" t="s">
        <v>637</v>
      </c>
      <c r="F20" s="10" t="s">
        <v>723</v>
      </c>
      <c r="G20" s="10">
        <v>2.2</v>
      </c>
      <c r="H20" s="10">
        <v>2.6</v>
      </c>
      <c r="I20" s="10" t="s">
        <v>148</v>
      </c>
      <c r="J20" s="10" t="s">
        <v>149</v>
      </c>
      <c r="K20" s="11" t="s">
        <v>724</v>
      </c>
      <c r="L20" s="10" t="s">
        <v>656</v>
      </c>
      <c r="M20" s="10" t="s">
        <v>641</v>
      </c>
      <c r="N20" s="11" t="s">
        <v>657</v>
      </c>
      <c r="O20" s="11" t="s">
        <v>658</v>
      </c>
      <c r="P20" s="10" t="s">
        <v>644</v>
      </c>
      <c r="Q20" s="10" t="s">
        <v>659</v>
      </c>
      <c r="R20" s="10" t="s">
        <v>646</v>
      </c>
    </row>
    <row r="21" ht="35.05" customHeight="1" spans="1:18" x14ac:dyDescent="0.25">
      <c r="A21" s="10" t="s">
        <v>725</v>
      </c>
      <c r="B21" s="10" t="s">
        <v>152</v>
      </c>
      <c r="C21" s="10" t="s">
        <v>153</v>
      </c>
      <c r="D21" s="10">
        <v>1</v>
      </c>
      <c r="E21" s="10" t="s">
        <v>637</v>
      </c>
      <c r="F21" s="10" t="s">
        <v>652</v>
      </c>
      <c r="G21" s="10"/>
      <c r="H21" s="10">
        <v>50</v>
      </c>
      <c r="I21" s="10" t="s">
        <v>156</v>
      </c>
      <c r="J21" s="10" t="s">
        <v>157</v>
      </c>
      <c r="K21" s="11" t="s">
        <v>726</v>
      </c>
      <c r="L21" s="10" t="s">
        <v>656</v>
      </c>
      <c r="M21" s="10" t="s">
        <v>641</v>
      </c>
      <c r="N21" s="11" t="s">
        <v>657</v>
      </c>
      <c r="O21" s="11" t="s">
        <v>658</v>
      </c>
      <c r="P21" s="10" t="s">
        <v>644</v>
      </c>
      <c r="Q21" s="10" t="s">
        <v>659</v>
      </c>
      <c r="R21" s="10" t="s">
        <v>646</v>
      </c>
    </row>
    <row r="22" ht="35.05" customHeight="1" spans="1:18" x14ac:dyDescent="0.25">
      <c r="A22" s="10" t="s">
        <v>727</v>
      </c>
      <c r="B22" s="10" t="s">
        <v>728</v>
      </c>
      <c r="C22" s="10" t="s">
        <v>729</v>
      </c>
      <c r="D22" s="10">
        <v>0</v>
      </c>
      <c r="E22" s="10" t="s">
        <v>637</v>
      </c>
      <c r="F22" s="10" t="s">
        <v>730</v>
      </c>
      <c r="G22" s="10">
        <v>17.9</v>
      </c>
      <c r="H22" s="10">
        <v>45.5</v>
      </c>
      <c r="I22" s="10" t="s">
        <v>293</v>
      </c>
      <c r="J22" s="10" t="s">
        <v>294</v>
      </c>
      <c r="K22" s="11" t="s">
        <v>731</v>
      </c>
      <c r="L22" s="10" t="s">
        <v>656</v>
      </c>
      <c r="M22" s="10" t="s">
        <v>641</v>
      </c>
      <c r="N22" s="11" t="s">
        <v>657</v>
      </c>
      <c r="O22" s="11" t="s">
        <v>658</v>
      </c>
      <c r="P22" s="10" t="s">
        <v>644</v>
      </c>
      <c r="Q22" s="10" t="s">
        <v>659</v>
      </c>
      <c r="R22" s="10" t="s">
        <v>646</v>
      </c>
    </row>
    <row r="23" ht="35.05" customHeight="1" spans="1:18" x14ac:dyDescent="0.25">
      <c r="A23" s="10" t="s">
        <v>732</v>
      </c>
      <c r="B23" s="10" t="s">
        <v>728</v>
      </c>
      <c r="C23" s="10" t="s">
        <v>729</v>
      </c>
      <c r="D23" s="10">
        <v>0</v>
      </c>
      <c r="E23" s="10" t="s">
        <v>637</v>
      </c>
      <c r="F23" s="10" t="s">
        <v>638</v>
      </c>
      <c r="G23" s="10">
        <v>24.6</v>
      </c>
      <c r="H23" s="10">
        <v>51</v>
      </c>
      <c r="I23" s="10" t="s">
        <v>293</v>
      </c>
      <c r="J23" s="10" t="s">
        <v>294</v>
      </c>
      <c r="K23" s="11" t="s">
        <v>731</v>
      </c>
      <c r="L23" s="10" t="s">
        <v>656</v>
      </c>
      <c r="M23" s="10" t="s">
        <v>641</v>
      </c>
      <c r="N23" s="11" t="s">
        <v>657</v>
      </c>
      <c r="O23" s="11" t="s">
        <v>658</v>
      </c>
      <c r="P23" s="10" t="s">
        <v>644</v>
      </c>
      <c r="Q23" s="10" t="s">
        <v>659</v>
      </c>
      <c r="R23" s="10" t="s">
        <v>646</v>
      </c>
    </row>
    <row r="24" ht="35.05" customHeight="1" spans="1:18" x14ac:dyDescent="0.25">
      <c r="A24" s="10" t="s">
        <v>733</v>
      </c>
      <c r="B24" s="10" t="s">
        <v>734</v>
      </c>
      <c r="C24" s="10" t="s">
        <v>735</v>
      </c>
      <c r="D24" s="10">
        <v>0</v>
      </c>
      <c r="E24" s="10" t="s">
        <v>637</v>
      </c>
      <c r="F24" s="10" t="s">
        <v>652</v>
      </c>
      <c r="G24" s="10">
        <v>60</v>
      </c>
      <c r="H24" s="10">
        <v>360</v>
      </c>
      <c r="I24" s="10" t="s">
        <v>736</v>
      </c>
      <c r="J24" s="10" t="s">
        <v>737</v>
      </c>
      <c r="K24" s="11" t="s">
        <v>738</v>
      </c>
      <c r="L24" s="10" t="s">
        <v>656</v>
      </c>
      <c r="M24" s="10" t="s">
        <v>641</v>
      </c>
      <c r="N24" s="11" t="s">
        <v>657</v>
      </c>
      <c r="O24" s="11" t="s">
        <v>658</v>
      </c>
      <c r="P24" s="10" t="s">
        <v>644</v>
      </c>
      <c r="Q24" s="10" t="s">
        <v>659</v>
      </c>
      <c r="R24" s="10" t="s">
        <v>646</v>
      </c>
    </row>
    <row r="25" ht="35.05" customHeight="1" spans="1:18" x14ac:dyDescent="0.25">
      <c r="A25" s="10" t="s">
        <v>739</v>
      </c>
      <c r="B25" s="10" t="s">
        <v>740</v>
      </c>
      <c r="C25" s="10" t="s">
        <v>741</v>
      </c>
      <c r="D25" s="10">
        <v>0</v>
      </c>
      <c r="E25" s="10" t="s">
        <v>637</v>
      </c>
      <c r="F25" s="10" t="s">
        <v>652</v>
      </c>
      <c r="G25" s="10"/>
      <c r="H25" s="10">
        <v>1.75</v>
      </c>
      <c r="I25" s="10" t="s">
        <v>278</v>
      </c>
      <c r="J25" s="10" t="s">
        <v>278</v>
      </c>
      <c r="K25" s="11" t="s">
        <v>742</v>
      </c>
      <c r="L25" s="10" t="s">
        <v>656</v>
      </c>
      <c r="M25" s="10" t="s">
        <v>641</v>
      </c>
      <c r="N25" s="11" t="s">
        <v>657</v>
      </c>
      <c r="O25" s="11" t="s">
        <v>658</v>
      </c>
      <c r="P25" s="10" t="s">
        <v>644</v>
      </c>
      <c r="Q25" s="10" t="s">
        <v>659</v>
      </c>
      <c r="R25" s="10" t="s">
        <v>646</v>
      </c>
    </row>
    <row r="26" ht="35.05" customHeight="1" spans="1:18" x14ac:dyDescent="0.25">
      <c r="A26" s="10" t="s">
        <v>743</v>
      </c>
      <c r="B26" s="10" t="s">
        <v>744</v>
      </c>
      <c r="C26" s="10" t="s">
        <v>745</v>
      </c>
      <c r="D26" s="10">
        <v>0</v>
      </c>
      <c r="E26" s="10" t="s">
        <v>637</v>
      </c>
      <c r="F26" s="10" t="s">
        <v>746</v>
      </c>
      <c r="G26" s="10">
        <v>98</v>
      </c>
      <c r="H26" s="10">
        <v>107</v>
      </c>
      <c r="I26" s="10" t="s">
        <v>148</v>
      </c>
      <c r="J26" s="10" t="s">
        <v>149</v>
      </c>
      <c r="K26" s="11" t="s">
        <v>747</v>
      </c>
      <c r="L26" s="10" t="s">
        <v>656</v>
      </c>
      <c r="M26" s="10" t="s">
        <v>641</v>
      </c>
      <c r="N26" s="11" t="s">
        <v>657</v>
      </c>
      <c r="O26" s="11" t="s">
        <v>658</v>
      </c>
      <c r="P26" s="10" t="s">
        <v>644</v>
      </c>
      <c r="Q26" s="10" t="s">
        <v>659</v>
      </c>
      <c r="R26" s="10" t="s">
        <v>646</v>
      </c>
    </row>
    <row r="27" ht="35.05" customHeight="1" spans="1:18" x14ac:dyDescent="0.25">
      <c r="A27" s="10" t="s">
        <v>748</v>
      </c>
      <c r="B27" s="10" t="s">
        <v>163</v>
      </c>
      <c r="C27" s="10" t="s">
        <v>164</v>
      </c>
      <c r="D27" s="10">
        <v>1</v>
      </c>
      <c r="E27" s="10" t="s">
        <v>637</v>
      </c>
      <c r="F27" s="10" t="s">
        <v>692</v>
      </c>
      <c r="G27" s="10"/>
      <c r="H27" s="10">
        <v>190</v>
      </c>
      <c r="I27" s="10" t="s">
        <v>167</v>
      </c>
      <c r="J27" s="10" t="s">
        <v>168</v>
      </c>
      <c r="K27" s="11" t="s">
        <v>749</v>
      </c>
      <c r="L27" s="10" t="s">
        <v>656</v>
      </c>
      <c r="M27" s="10" t="s">
        <v>641</v>
      </c>
      <c r="N27" s="11" t="s">
        <v>657</v>
      </c>
      <c r="O27" s="11" t="s">
        <v>658</v>
      </c>
      <c r="P27" s="10" t="s">
        <v>644</v>
      </c>
      <c r="Q27" s="10" t="s">
        <v>659</v>
      </c>
      <c r="R27" s="10" t="s">
        <v>646</v>
      </c>
    </row>
    <row r="28" ht="35.05" customHeight="1" spans="1:18" x14ac:dyDescent="0.25">
      <c r="A28" s="10" t="s">
        <v>750</v>
      </c>
      <c r="B28" s="10" t="s">
        <v>751</v>
      </c>
      <c r="C28" s="10" t="s">
        <v>752</v>
      </c>
      <c r="D28" s="10">
        <v>0</v>
      </c>
      <c r="E28" s="10" t="s">
        <v>637</v>
      </c>
      <c r="F28" s="10" t="s">
        <v>652</v>
      </c>
      <c r="G28" s="10">
        <v>0.14</v>
      </c>
      <c r="H28" s="10">
        <v>0.52</v>
      </c>
      <c r="I28" s="10" t="s">
        <v>139</v>
      </c>
      <c r="J28" s="10" t="s">
        <v>140</v>
      </c>
      <c r="K28" s="11" t="s">
        <v>753</v>
      </c>
      <c r="L28" s="10" t="s">
        <v>656</v>
      </c>
      <c r="M28" s="10" t="s">
        <v>641</v>
      </c>
      <c r="N28" s="11" t="s">
        <v>657</v>
      </c>
      <c r="O28" s="11" t="s">
        <v>658</v>
      </c>
      <c r="P28" s="10" t="s">
        <v>644</v>
      </c>
      <c r="Q28" s="10" t="s">
        <v>659</v>
      </c>
      <c r="R28" s="10" t="s">
        <v>646</v>
      </c>
    </row>
    <row r="29" ht="35.05" customHeight="1" spans="1:18" x14ac:dyDescent="0.25">
      <c r="A29" s="10" t="s">
        <v>754</v>
      </c>
      <c r="B29" s="10" t="s">
        <v>755</v>
      </c>
      <c r="C29" s="10" t="s">
        <v>756</v>
      </c>
      <c r="D29" s="10">
        <v>0</v>
      </c>
      <c r="E29" s="10" t="s">
        <v>637</v>
      </c>
      <c r="F29" s="10" t="s">
        <v>652</v>
      </c>
      <c r="G29" s="10">
        <v>0.6</v>
      </c>
      <c r="H29" s="10"/>
      <c r="I29" s="10" t="s">
        <v>191</v>
      </c>
      <c r="J29" s="10" t="s">
        <v>192</v>
      </c>
      <c r="K29" s="11" t="s">
        <v>757</v>
      </c>
      <c r="L29" s="10" t="s">
        <v>656</v>
      </c>
      <c r="M29" s="10" t="s">
        <v>641</v>
      </c>
      <c r="N29" s="11" t="s">
        <v>657</v>
      </c>
      <c r="O29" s="11" t="s">
        <v>658</v>
      </c>
      <c r="P29" s="10" t="s">
        <v>644</v>
      </c>
      <c r="Q29" s="10" t="s">
        <v>659</v>
      </c>
      <c r="R29" s="10" t="s">
        <v>646</v>
      </c>
    </row>
    <row r="30" ht="35.05" customHeight="1" spans="1:18" x14ac:dyDescent="0.25">
      <c r="A30" s="10" t="s">
        <v>758</v>
      </c>
      <c r="B30" s="10" t="s">
        <v>171</v>
      </c>
      <c r="C30" s="10" t="s">
        <v>172</v>
      </c>
      <c r="D30" s="10">
        <v>1</v>
      </c>
      <c r="E30" s="10" t="s">
        <v>637</v>
      </c>
      <c r="F30" s="10" t="s">
        <v>759</v>
      </c>
      <c r="G30" s="10">
        <v>37</v>
      </c>
      <c r="H30" s="10">
        <v>194</v>
      </c>
      <c r="I30" s="10" t="s">
        <v>117</v>
      </c>
      <c r="J30" s="10" t="s">
        <v>118</v>
      </c>
      <c r="K30" s="11" t="s">
        <v>760</v>
      </c>
      <c r="L30" s="10" t="s">
        <v>656</v>
      </c>
      <c r="M30" s="10" t="s">
        <v>641</v>
      </c>
      <c r="N30" s="11" t="s">
        <v>657</v>
      </c>
      <c r="O30" s="11" t="s">
        <v>658</v>
      </c>
      <c r="P30" s="10" t="s">
        <v>644</v>
      </c>
      <c r="Q30" s="10" t="s">
        <v>659</v>
      </c>
      <c r="R30" s="10" t="s">
        <v>646</v>
      </c>
    </row>
    <row r="31" ht="35.05" customHeight="1" spans="1:18" x14ac:dyDescent="0.25">
      <c r="A31" s="10" t="s">
        <v>761</v>
      </c>
      <c r="B31" s="10" t="s">
        <v>171</v>
      </c>
      <c r="C31" s="10" t="s">
        <v>172</v>
      </c>
      <c r="D31" s="10">
        <v>1</v>
      </c>
      <c r="E31" s="10" t="s">
        <v>637</v>
      </c>
      <c r="F31" s="10" t="s">
        <v>762</v>
      </c>
      <c r="G31" s="10">
        <v>29</v>
      </c>
      <c r="H31" s="10">
        <v>173</v>
      </c>
      <c r="I31" s="10" t="s">
        <v>117</v>
      </c>
      <c r="J31" s="10" t="s">
        <v>118</v>
      </c>
      <c r="K31" s="11" t="s">
        <v>760</v>
      </c>
      <c r="L31" s="10" t="s">
        <v>656</v>
      </c>
      <c r="M31" s="10" t="s">
        <v>641</v>
      </c>
      <c r="N31" s="11" t="s">
        <v>657</v>
      </c>
      <c r="O31" s="11" t="s">
        <v>658</v>
      </c>
      <c r="P31" s="10" t="s">
        <v>644</v>
      </c>
      <c r="Q31" s="10" t="s">
        <v>659</v>
      </c>
      <c r="R31" s="10" t="s">
        <v>646</v>
      </c>
    </row>
    <row r="32" ht="35.05" customHeight="1" spans="1:18" x14ac:dyDescent="0.25">
      <c r="A32" s="10" t="s">
        <v>763</v>
      </c>
      <c r="B32" s="10" t="s">
        <v>187</v>
      </c>
      <c r="C32" s="10" t="s">
        <v>188</v>
      </c>
      <c r="D32" s="10">
        <v>1</v>
      </c>
      <c r="E32" s="10" t="s">
        <v>637</v>
      </c>
      <c r="F32" s="10" t="s">
        <v>652</v>
      </c>
      <c r="G32" s="10"/>
      <c r="H32" s="10">
        <v>5</v>
      </c>
      <c r="I32" s="10" t="s">
        <v>191</v>
      </c>
      <c r="J32" s="10" t="s">
        <v>192</v>
      </c>
      <c r="K32" s="11" t="s">
        <v>764</v>
      </c>
      <c r="L32" s="10" t="s">
        <v>656</v>
      </c>
      <c r="M32" s="10" t="s">
        <v>641</v>
      </c>
      <c r="N32" s="11" t="s">
        <v>657</v>
      </c>
      <c r="O32" s="11" t="s">
        <v>658</v>
      </c>
      <c r="P32" s="10" t="s">
        <v>644</v>
      </c>
      <c r="Q32" s="10" t="s">
        <v>659</v>
      </c>
      <c r="R32" s="10" t="s">
        <v>646</v>
      </c>
    </row>
    <row r="33" ht="35.05" customHeight="1" spans="1:18" x14ac:dyDescent="0.25">
      <c r="A33" s="10" t="s">
        <v>765</v>
      </c>
      <c r="B33" s="10" t="s">
        <v>766</v>
      </c>
      <c r="C33" s="10" t="s">
        <v>767</v>
      </c>
      <c r="D33" s="10">
        <v>0</v>
      </c>
      <c r="E33" s="10" t="s">
        <v>637</v>
      </c>
      <c r="F33" s="10" t="s">
        <v>768</v>
      </c>
      <c r="G33" s="10">
        <v>0.5</v>
      </c>
      <c r="H33" s="10">
        <v>0.9</v>
      </c>
      <c r="I33" s="10" t="s">
        <v>191</v>
      </c>
      <c r="J33" s="10" t="s">
        <v>192</v>
      </c>
      <c r="K33" s="11" t="s">
        <v>769</v>
      </c>
      <c r="L33" s="10" t="s">
        <v>656</v>
      </c>
      <c r="M33" s="10" t="s">
        <v>641</v>
      </c>
      <c r="N33" s="11" t="s">
        <v>657</v>
      </c>
      <c r="O33" s="11" t="s">
        <v>658</v>
      </c>
      <c r="P33" s="10" t="s">
        <v>644</v>
      </c>
      <c r="Q33" s="10" t="s">
        <v>659</v>
      </c>
      <c r="R33" s="10" t="s">
        <v>646</v>
      </c>
    </row>
    <row r="34" ht="35.05" customHeight="1" spans="1:18" x14ac:dyDescent="0.25">
      <c r="A34" s="10" t="s">
        <v>770</v>
      </c>
      <c r="B34" s="10" t="s">
        <v>766</v>
      </c>
      <c r="C34" s="10" t="s">
        <v>767</v>
      </c>
      <c r="D34" s="10">
        <v>0</v>
      </c>
      <c r="E34" s="10" t="s">
        <v>637</v>
      </c>
      <c r="F34" s="10" t="s">
        <v>771</v>
      </c>
      <c r="G34" s="10">
        <v>0.53</v>
      </c>
      <c r="H34" s="10">
        <v>0.92</v>
      </c>
      <c r="I34" s="10" t="s">
        <v>191</v>
      </c>
      <c r="J34" s="10" t="s">
        <v>192</v>
      </c>
      <c r="K34" s="11" t="s">
        <v>769</v>
      </c>
      <c r="L34" s="10" t="s">
        <v>656</v>
      </c>
      <c r="M34" s="10" t="s">
        <v>641</v>
      </c>
      <c r="N34" s="11" t="s">
        <v>657</v>
      </c>
      <c r="O34" s="11" t="s">
        <v>658</v>
      </c>
      <c r="P34" s="10" t="s">
        <v>644</v>
      </c>
      <c r="Q34" s="10" t="s">
        <v>659</v>
      </c>
      <c r="R34" s="10" t="s">
        <v>646</v>
      </c>
    </row>
    <row r="35" ht="35.05" customHeight="1" spans="1:18" x14ac:dyDescent="0.25">
      <c r="A35" s="10" t="s">
        <v>772</v>
      </c>
      <c r="B35" s="10" t="s">
        <v>766</v>
      </c>
      <c r="C35" s="10" t="s">
        <v>767</v>
      </c>
      <c r="D35" s="10">
        <v>0</v>
      </c>
      <c r="E35" s="10" t="s">
        <v>637</v>
      </c>
      <c r="F35" s="10" t="s">
        <v>773</v>
      </c>
      <c r="G35" s="10">
        <v>0.6</v>
      </c>
      <c r="H35" s="10">
        <v>1</v>
      </c>
      <c r="I35" s="10" t="s">
        <v>191</v>
      </c>
      <c r="J35" s="10" t="s">
        <v>192</v>
      </c>
      <c r="K35" s="11" t="s">
        <v>769</v>
      </c>
      <c r="L35" s="10" t="s">
        <v>656</v>
      </c>
      <c r="M35" s="10" t="s">
        <v>641</v>
      </c>
      <c r="N35" s="11" t="s">
        <v>657</v>
      </c>
      <c r="O35" s="11" t="s">
        <v>658</v>
      </c>
      <c r="P35" s="10" t="s">
        <v>644</v>
      </c>
      <c r="Q35" s="10" t="s">
        <v>659</v>
      </c>
      <c r="R35" s="10" t="s">
        <v>646</v>
      </c>
    </row>
    <row r="36" ht="35.05" customHeight="1" spans="1:18" x14ac:dyDescent="0.25">
      <c r="A36" s="10" t="s">
        <v>774</v>
      </c>
      <c r="B36" s="10" t="s">
        <v>766</v>
      </c>
      <c r="C36" s="10" t="s">
        <v>767</v>
      </c>
      <c r="D36" s="10">
        <v>0</v>
      </c>
      <c r="E36" s="10" t="s">
        <v>637</v>
      </c>
      <c r="F36" s="10" t="s">
        <v>771</v>
      </c>
      <c r="G36" s="10">
        <v>0.58</v>
      </c>
      <c r="H36" s="10">
        <v>1.02</v>
      </c>
      <c r="I36" s="10" t="s">
        <v>191</v>
      </c>
      <c r="J36" s="10" t="s">
        <v>192</v>
      </c>
      <c r="K36" s="11" t="s">
        <v>769</v>
      </c>
      <c r="L36" s="10" t="s">
        <v>656</v>
      </c>
      <c r="M36" s="10" t="s">
        <v>641</v>
      </c>
      <c r="N36" s="11" t="s">
        <v>657</v>
      </c>
      <c r="O36" s="11" t="s">
        <v>658</v>
      </c>
      <c r="P36" s="10" t="s">
        <v>644</v>
      </c>
      <c r="Q36" s="10" t="s">
        <v>659</v>
      </c>
      <c r="R36" s="10" t="s">
        <v>646</v>
      </c>
    </row>
    <row r="37" ht="35.05" customHeight="1" spans="1:18" x14ac:dyDescent="0.25">
      <c r="A37" s="10" t="s">
        <v>775</v>
      </c>
      <c r="B37" s="10" t="s">
        <v>195</v>
      </c>
      <c r="C37" s="10" t="s">
        <v>196</v>
      </c>
      <c r="D37" s="10">
        <v>1</v>
      </c>
      <c r="E37" s="10" t="s">
        <v>637</v>
      </c>
      <c r="F37" s="10" t="s">
        <v>776</v>
      </c>
      <c r="G37" s="10">
        <v>1600</v>
      </c>
      <c r="H37" s="10">
        <v>4490</v>
      </c>
      <c r="I37" s="10" t="s">
        <v>117</v>
      </c>
      <c r="J37" s="10" t="s">
        <v>118</v>
      </c>
      <c r="K37" s="11" t="s">
        <v>777</v>
      </c>
      <c r="L37" s="10" t="s">
        <v>656</v>
      </c>
      <c r="M37" s="10" t="s">
        <v>641</v>
      </c>
      <c r="N37" s="11" t="s">
        <v>657</v>
      </c>
      <c r="O37" s="11" t="s">
        <v>658</v>
      </c>
      <c r="P37" s="10" t="s">
        <v>644</v>
      </c>
      <c r="Q37" s="10" t="s">
        <v>659</v>
      </c>
      <c r="R37" s="10" t="s">
        <v>646</v>
      </c>
    </row>
    <row r="38" ht="35.05" customHeight="1" spans="1:18" x14ac:dyDescent="0.25">
      <c r="A38" s="10" t="s">
        <v>778</v>
      </c>
      <c r="B38" s="10" t="s">
        <v>195</v>
      </c>
      <c r="C38" s="10" t="s">
        <v>196</v>
      </c>
      <c r="D38" s="10">
        <v>1</v>
      </c>
      <c r="E38" s="10" t="s">
        <v>637</v>
      </c>
      <c r="F38" s="10" t="s">
        <v>771</v>
      </c>
      <c r="G38" s="10">
        <v>988</v>
      </c>
      <c r="H38" s="10">
        <v>3400</v>
      </c>
      <c r="I38" s="10" t="s">
        <v>117</v>
      </c>
      <c r="J38" s="10" t="s">
        <v>118</v>
      </c>
      <c r="K38" s="11" t="s">
        <v>777</v>
      </c>
      <c r="L38" s="10" t="s">
        <v>656</v>
      </c>
      <c r="M38" s="10" t="s">
        <v>641</v>
      </c>
      <c r="N38" s="11" t="s">
        <v>657</v>
      </c>
      <c r="O38" s="11" t="s">
        <v>658</v>
      </c>
      <c r="P38" s="10" t="s">
        <v>644</v>
      </c>
      <c r="Q38" s="10" t="s">
        <v>659</v>
      </c>
      <c r="R38" s="10" t="s">
        <v>646</v>
      </c>
    </row>
    <row r="39" ht="35.05" customHeight="1" spans="1:18" x14ac:dyDescent="0.25">
      <c r="A39" s="10" t="s">
        <v>779</v>
      </c>
      <c r="B39" s="10" t="s">
        <v>195</v>
      </c>
      <c r="C39" s="10" t="s">
        <v>196</v>
      </c>
      <c r="D39" s="10">
        <v>1</v>
      </c>
      <c r="E39" s="10" t="s">
        <v>637</v>
      </c>
      <c r="F39" s="10" t="s">
        <v>780</v>
      </c>
      <c r="G39" s="10">
        <v>889</v>
      </c>
      <c r="H39" s="10">
        <v>4720</v>
      </c>
      <c r="I39" s="10" t="s">
        <v>117</v>
      </c>
      <c r="J39" s="10" t="s">
        <v>118</v>
      </c>
      <c r="K39" s="11" t="s">
        <v>777</v>
      </c>
      <c r="L39" s="10" t="s">
        <v>656</v>
      </c>
      <c r="M39" s="10" t="s">
        <v>641</v>
      </c>
      <c r="N39" s="11" t="s">
        <v>657</v>
      </c>
      <c r="O39" s="11" t="s">
        <v>658</v>
      </c>
      <c r="P39" s="10" t="s">
        <v>644</v>
      </c>
      <c r="Q39" s="10" t="s">
        <v>659</v>
      </c>
      <c r="R39" s="10" t="s">
        <v>646</v>
      </c>
    </row>
    <row r="40" ht="35.05" customHeight="1" spans="1:18" x14ac:dyDescent="0.25">
      <c r="A40" s="10" t="s">
        <v>781</v>
      </c>
      <c r="B40" s="10" t="s">
        <v>782</v>
      </c>
      <c r="C40" s="10" t="s">
        <v>783</v>
      </c>
      <c r="D40" s="10">
        <v>0</v>
      </c>
      <c r="E40" s="10" t="s">
        <v>637</v>
      </c>
      <c r="F40" s="10" t="s">
        <v>652</v>
      </c>
      <c r="G40" s="10"/>
      <c r="H40" s="10">
        <v>13.3</v>
      </c>
      <c r="I40" s="10" t="s">
        <v>139</v>
      </c>
      <c r="J40" s="10" t="s">
        <v>140</v>
      </c>
      <c r="K40" s="11" t="s">
        <v>784</v>
      </c>
      <c r="L40" s="10" t="s">
        <v>656</v>
      </c>
      <c r="M40" s="10" t="s">
        <v>641</v>
      </c>
      <c r="N40" s="11" t="s">
        <v>657</v>
      </c>
      <c r="O40" s="11" t="s">
        <v>658</v>
      </c>
      <c r="P40" s="10" t="s">
        <v>644</v>
      </c>
      <c r="Q40" s="10" t="s">
        <v>659</v>
      </c>
      <c r="R40" s="10" t="s">
        <v>646</v>
      </c>
    </row>
    <row r="41" ht="35.05" customHeight="1" spans="1:18" x14ac:dyDescent="0.25">
      <c r="A41" s="10" t="s">
        <v>785</v>
      </c>
      <c r="B41" s="10" t="s">
        <v>786</v>
      </c>
      <c r="C41" s="10" t="s">
        <v>787</v>
      </c>
      <c r="D41" s="10">
        <v>0</v>
      </c>
      <c r="E41" s="10" t="s">
        <v>637</v>
      </c>
      <c r="F41" s="10" t="s">
        <v>788</v>
      </c>
      <c r="G41" s="10">
        <v>11.6</v>
      </c>
      <c r="H41" s="10">
        <v>31.3</v>
      </c>
      <c r="I41" s="10" t="s">
        <v>293</v>
      </c>
      <c r="J41" s="10" t="s">
        <v>294</v>
      </c>
      <c r="K41" s="11" t="s">
        <v>789</v>
      </c>
      <c r="L41" s="10" t="s">
        <v>656</v>
      </c>
      <c r="M41" s="10" t="s">
        <v>641</v>
      </c>
      <c r="N41" s="11" t="s">
        <v>657</v>
      </c>
      <c r="O41" s="11" t="s">
        <v>658</v>
      </c>
      <c r="P41" s="10" t="s">
        <v>644</v>
      </c>
      <c r="Q41" s="10" t="s">
        <v>659</v>
      </c>
      <c r="R41" s="10" t="s">
        <v>646</v>
      </c>
    </row>
    <row r="42" ht="35.05" customHeight="1" spans="1:18" x14ac:dyDescent="0.25">
      <c r="A42" s="10" t="s">
        <v>790</v>
      </c>
      <c r="B42" s="10" t="s">
        <v>786</v>
      </c>
      <c r="C42" s="10" t="s">
        <v>787</v>
      </c>
      <c r="D42" s="10">
        <v>0</v>
      </c>
      <c r="E42" s="10" t="s">
        <v>637</v>
      </c>
      <c r="F42" s="10" t="s">
        <v>771</v>
      </c>
      <c r="G42" s="10">
        <v>9</v>
      </c>
      <c r="H42" s="10">
        <v>30.4</v>
      </c>
      <c r="I42" s="10" t="s">
        <v>293</v>
      </c>
      <c r="J42" s="10" t="s">
        <v>294</v>
      </c>
      <c r="K42" s="11" t="s">
        <v>789</v>
      </c>
      <c r="L42" s="10" t="s">
        <v>656</v>
      </c>
      <c r="M42" s="10" t="s">
        <v>641</v>
      </c>
      <c r="N42" s="11" t="s">
        <v>657</v>
      </c>
      <c r="O42" s="11" t="s">
        <v>658</v>
      </c>
      <c r="P42" s="10" t="s">
        <v>644</v>
      </c>
      <c r="Q42" s="10" t="s">
        <v>659</v>
      </c>
      <c r="R42" s="10" t="s">
        <v>646</v>
      </c>
    </row>
    <row r="43" ht="35.05" customHeight="1" spans="1:18" x14ac:dyDescent="0.25">
      <c r="A43" s="10" t="s">
        <v>791</v>
      </c>
      <c r="B43" s="10" t="s">
        <v>792</v>
      </c>
      <c r="C43" s="10" t="s">
        <v>793</v>
      </c>
      <c r="D43" s="10">
        <v>0</v>
      </c>
      <c r="E43" s="10" t="s">
        <v>637</v>
      </c>
      <c r="F43" s="10" t="s">
        <v>652</v>
      </c>
      <c r="G43" s="10"/>
      <c r="H43" s="10">
        <v>1358</v>
      </c>
      <c r="I43" s="10" t="s">
        <v>706</v>
      </c>
      <c r="J43" s="10" t="s">
        <v>706</v>
      </c>
      <c r="K43" s="11" t="s">
        <v>794</v>
      </c>
      <c r="L43" s="10" t="s">
        <v>656</v>
      </c>
      <c r="M43" s="10" t="s">
        <v>641</v>
      </c>
      <c r="N43" s="11" t="s">
        <v>657</v>
      </c>
      <c r="O43" s="11" t="s">
        <v>658</v>
      </c>
      <c r="P43" s="10" t="s">
        <v>644</v>
      </c>
      <c r="Q43" s="10" t="s">
        <v>659</v>
      </c>
      <c r="R43" s="10" t="s">
        <v>646</v>
      </c>
    </row>
    <row r="44" ht="35.05" customHeight="1" spans="1:18" x14ac:dyDescent="0.25">
      <c r="A44" s="10" t="s">
        <v>795</v>
      </c>
      <c r="B44" s="10" t="s">
        <v>796</v>
      </c>
      <c r="C44" s="10" t="s">
        <v>797</v>
      </c>
      <c r="D44" s="10">
        <v>0</v>
      </c>
      <c r="E44" s="10" t="s">
        <v>637</v>
      </c>
      <c r="F44" s="10" t="s">
        <v>652</v>
      </c>
      <c r="G44" s="10"/>
      <c r="H44" s="10">
        <v>0.1</v>
      </c>
      <c r="I44" s="10" t="s">
        <v>191</v>
      </c>
      <c r="J44" s="10" t="s">
        <v>192</v>
      </c>
      <c r="K44" s="11" t="s">
        <v>798</v>
      </c>
      <c r="L44" s="10" t="s">
        <v>656</v>
      </c>
      <c r="M44" s="10" t="s">
        <v>641</v>
      </c>
      <c r="N44" s="11" t="s">
        <v>657</v>
      </c>
      <c r="O44" s="11" t="s">
        <v>658</v>
      </c>
      <c r="P44" s="10" t="s">
        <v>644</v>
      </c>
      <c r="Q44" s="10" t="s">
        <v>659</v>
      </c>
      <c r="R44" s="10" t="s">
        <v>646</v>
      </c>
    </row>
    <row r="45" ht="35.05" customHeight="1" spans="1:18" x14ac:dyDescent="0.25">
      <c r="A45" s="10" t="s">
        <v>799</v>
      </c>
      <c r="B45" s="10" t="s">
        <v>200</v>
      </c>
      <c r="C45" s="10" t="s">
        <v>201</v>
      </c>
      <c r="D45" s="10">
        <v>1</v>
      </c>
      <c r="E45" s="10" t="s">
        <v>637</v>
      </c>
      <c r="F45" s="10" t="s">
        <v>788</v>
      </c>
      <c r="G45" s="10">
        <v>21.8</v>
      </c>
      <c r="H45" s="10">
        <v>275</v>
      </c>
      <c r="I45" s="10" t="s">
        <v>117</v>
      </c>
      <c r="J45" s="10" t="s">
        <v>118</v>
      </c>
      <c r="K45" s="11" t="s">
        <v>800</v>
      </c>
      <c r="L45" s="10" t="s">
        <v>656</v>
      </c>
      <c r="M45" s="10" t="s">
        <v>641</v>
      </c>
      <c r="N45" s="11" t="s">
        <v>657</v>
      </c>
      <c r="O45" s="11" t="s">
        <v>658</v>
      </c>
      <c r="P45" s="10" t="s">
        <v>644</v>
      </c>
      <c r="Q45" s="10" t="s">
        <v>659</v>
      </c>
      <c r="R45" s="10" t="s">
        <v>646</v>
      </c>
    </row>
    <row r="46" ht="35.05" customHeight="1" spans="1:18" x14ac:dyDescent="0.25">
      <c r="A46" s="10" t="s">
        <v>801</v>
      </c>
      <c r="B46" s="10" t="s">
        <v>200</v>
      </c>
      <c r="C46" s="10" t="s">
        <v>201</v>
      </c>
      <c r="D46" s="10">
        <v>1</v>
      </c>
      <c r="E46" s="10" t="s">
        <v>637</v>
      </c>
      <c r="F46" s="10" t="s">
        <v>771</v>
      </c>
      <c r="G46" s="10">
        <v>4.63</v>
      </c>
      <c r="H46" s="10">
        <v>204</v>
      </c>
      <c r="I46" s="10" t="s">
        <v>117</v>
      </c>
      <c r="J46" s="10" t="s">
        <v>118</v>
      </c>
      <c r="K46" s="11" t="s">
        <v>800</v>
      </c>
      <c r="L46" s="10" t="s">
        <v>656</v>
      </c>
      <c r="M46" s="10" t="s">
        <v>641</v>
      </c>
      <c r="N46" s="11" t="s">
        <v>657</v>
      </c>
      <c r="O46" s="11" t="s">
        <v>658</v>
      </c>
      <c r="P46" s="10" t="s">
        <v>644</v>
      </c>
      <c r="Q46" s="10" t="s">
        <v>659</v>
      </c>
      <c r="R46" s="10" t="s">
        <v>646</v>
      </c>
    </row>
    <row r="47" ht="35.05" customHeight="1" spans="1:18" x14ac:dyDescent="0.25">
      <c r="A47" s="10" t="s">
        <v>802</v>
      </c>
      <c r="B47" s="10" t="s">
        <v>206</v>
      </c>
      <c r="C47" s="10" t="s">
        <v>207</v>
      </c>
      <c r="D47" s="10">
        <v>1</v>
      </c>
      <c r="E47" s="10" t="s">
        <v>637</v>
      </c>
      <c r="F47" s="10" t="s">
        <v>652</v>
      </c>
      <c r="G47" s="10">
        <v>3</v>
      </c>
      <c r="H47" s="10"/>
      <c r="I47" s="10" t="s">
        <v>117</v>
      </c>
      <c r="J47" s="10" t="s">
        <v>118</v>
      </c>
      <c r="K47" s="11" t="s">
        <v>803</v>
      </c>
      <c r="L47" s="10" t="s">
        <v>656</v>
      </c>
      <c r="M47" s="10" t="s">
        <v>641</v>
      </c>
      <c r="N47" s="11" t="s">
        <v>657</v>
      </c>
      <c r="O47" s="11" t="s">
        <v>658</v>
      </c>
      <c r="P47" s="10" t="s">
        <v>644</v>
      </c>
      <c r="Q47" s="10" t="s">
        <v>659</v>
      </c>
      <c r="R47" s="10" t="s">
        <v>646</v>
      </c>
    </row>
    <row r="48" ht="35.05" customHeight="1" spans="1:18" x14ac:dyDescent="0.25">
      <c r="A48" s="10" t="s">
        <v>804</v>
      </c>
      <c r="B48" s="10" t="s">
        <v>805</v>
      </c>
      <c r="C48" s="10" t="s">
        <v>806</v>
      </c>
      <c r="D48" s="10">
        <v>0</v>
      </c>
      <c r="E48" s="10" t="s">
        <v>637</v>
      </c>
      <c r="F48" s="10" t="s">
        <v>807</v>
      </c>
      <c r="G48" s="10">
        <v>24.5</v>
      </c>
      <c r="H48" s="10">
        <v>113.3</v>
      </c>
      <c r="I48" s="10"/>
      <c r="J48" s="10" t="s">
        <v>808</v>
      </c>
      <c r="K48" s="11" t="s">
        <v>809</v>
      </c>
      <c r="L48" s="10" t="s">
        <v>656</v>
      </c>
      <c r="M48" s="10" t="s">
        <v>641</v>
      </c>
      <c r="N48" s="11" t="s">
        <v>657</v>
      </c>
      <c r="O48" s="11" t="s">
        <v>658</v>
      </c>
      <c r="P48" s="10" t="s">
        <v>644</v>
      </c>
      <c r="Q48" s="10" t="s">
        <v>659</v>
      </c>
      <c r="R48" s="10" t="s">
        <v>646</v>
      </c>
    </row>
    <row r="49" ht="35.05" customHeight="1" spans="1:18" x14ac:dyDescent="0.25">
      <c r="A49" s="10" t="s">
        <v>810</v>
      </c>
      <c r="B49" s="10" t="s">
        <v>805</v>
      </c>
      <c r="C49" s="10" t="s">
        <v>806</v>
      </c>
      <c r="D49" s="10">
        <v>0</v>
      </c>
      <c r="E49" s="10" t="s">
        <v>637</v>
      </c>
      <c r="F49" s="10" t="s">
        <v>811</v>
      </c>
      <c r="G49" s="10">
        <v>0.7</v>
      </c>
      <c r="H49" s="10">
        <v>8.7</v>
      </c>
      <c r="I49" s="10"/>
      <c r="J49" s="10" t="s">
        <v>808</v>
      </c>
      <c r="K49" s="11" t="s">
        <v>809</v>
      </c>
      <c r="L49" s="10" t="s">
        <v>656</v>
      </c>
      <c r="M49" s="10" t="s">
        <v>641</v>
      </c>
      <c r="N49" s="11" t="s">
        <v>657</v>
      </c>
      <c r="O49" s="11" t="s">
        <v>658</v>
      </c>
      <c r="P49" s="10" t="s">
        <v>644</v>
      </c>
      <c r="Q49" s="10" t="s">
        <v>659</v>
      </c>
      <c r="R49" s="10" t="s">
        <v>646</v>
      </c>
    </row>
    <row r="50" ht="35.05" customHeight="1" spans="1:18" x14ac:dyDescent="0.25">
      <c r="A50" s="10" t="s">
        <v>812</v>
      </c>
      <c r="B50" s="10" t="s">
        <v>805</v>
      </c>
      <c r="C50" s="10" t="s">
        <v>806</v>
      </c>
      <c r="D50" s="10">
        <v>0</v>
      </c>
      <c r="E50" s="10" t="s">
        <v>637</v>
      </c>
      <c r="F50" s="10" t="s">
        <v>813</v>
      </c>
      <c r="G50" s="10">
        <v>0.5</v>
      </c>
      <c r="H50" s="10">
        <v>4.7</v>
      </c>
      <c r="I50" s="10"/>
      <c r="J50" s="10" t="s">
        <v>808</v>
      </c>
      <c r="K50" s="11" t="s">
        <v>809</v>
      </c>
      <c r="L50" s="10" t="s">
        <v>656</v>
      </c>
      <c r="M50" s="10" t="s">
        <v>641</v>
      </c>
      <c r="N50" s="11" t="s">
        <v>657</v>
      </c>
      <c r="O50" s="11" t="s">
        <v>658</v>
      </c>
      <c r="P50" s="10" t="s">
        <v>644</v>
      </c>
      <c r="Q50" s="10" t="s">
        <v>659</v>
      </c>
      <c r="R50" s="10" t="s">
        <v>646</v>
      </c>
    </row>
    <row r="51" ht="35.05" customHeight="1" spans="1:18" x14ac:dyDescent="0.25">
      <c r="A51" s="10" t="s">
        <v>814</v>
      </c>
      <c r="B51" s="10" t="s">
        <v>815</v>
      </c>
      <c r="C51" s="10" t="s">
        <v>816</v>
      </c>
      <c r="D51" s="10">
        <v>0</v>
      </c>
      <c r="E51" s="10" t="s">
        <v>637</v>
      </c>
      <c r="F51" s="10" t="s">
        <v>652</v>
      </c>
      <c r="G51" s="10"/>
      <c r="H51" s="10">
        <v>4.5</v>
      </c>
      <c r="I51" s="10" t="s">
        <v>214</v>
      </c>
      <c r="J51" s="10" t="s">
        <v>215</v>
      </c>
      <c r="K51" s="11" t="s">
        <v>817</v>
      </c>
      <c r="L51" s="10" t="s">
        <v>656</v>
      </c>
      <c r="M51" s="10" t="s">
        <v>641</v>
      </c>
      <c r="N51" s="11" t="s">
        <v>657</v>
      </c>
      <c r="O51" s="11" t="s">
        <v>658</v>
      </c>
      <c r="P51" s="10" t="s">
        <v>644</v>
      </c>
      <c r="Q51" s="10" t="s">
        <v>659</v>
      </c>
      <c r="R51" s="10" t="s">
        <v>646</v>
      </c>
    </row>
    <row r="52" ht="35.05" customHeight="1" spans="1:18" x14ac:dyDescent="0.25">
      <c r="A52" s="10" t="s">
        <v>818</v>
      </c>
      <c r="B52" s="10" t="s">
        <v>210</v>
      </c>
      <c r="C52" s="10" t="s">
        <v>211</v>
      </c>
      <c r="D52" s="10">
        <v>1</v>
      </c>
      <c r="E52" s="10" t="s">
        <v>637</v>
      </c>
      <c r="F52" s="10" t="s">
        <v>819</v>
      </c>
      <c r="G52" s="10">
        <v>1.58</v>
      </c>
      <c r="H52" s="10">
        <v>3.91</v>
      </c>
      <c r="I52" s="10" t="s">
        <v>214</v>
      </c>
      <c r="J52" s="10" t="s">
        <v>215</v>
      </c>
      <c r="K52" s="11" t="s">
        <v>820</v>
      </c>
      <c r="L52" s="10" t="s">
        <v>656</v>
      </c>
      <c r="M52" s="10" t="s">
        <v>641</v>
      </c>
      <c r="N52" s="11" t="s">
        <v>657</v>
      </c>
      <c r="O52" s="11" t="s">
        <v>658</v>
      </c>
      <c r="P52" s="10" t="s">
        <v>644</v>
      </c>
      <c r="Q52" s="10" t="s">
        <v>659</v>
      </c>
      <c r="R52" s="10" t="s">
        <v>646</v>
      </c>
    </row>
    <row r="53" ht="35.05" customHeight="1" spans="1:18" x14ac:dyDescent="0.25">
      <c r="A53" s="10" t="s">
        <v>821</v>
      </c>
      <c r="B53" s="10" t="s">
        <v>218</v>
      </c>
      <c r="C53" s="10" t="s">
        <v>219</v>
      </c>
      <c r="D53" s="10">
        <v>1</v>
      </c>
      <c r="E53" s="10" t="s">
        <v>637</v>
      </c>
      <c r="F53" s="10" t="s">
        <v>819</v>
      </c>
      <c r="G53" s="10">
        <v>7</v>
      </c>
      <c r="H53" s="10">
        <v>14.8</v>
      </c>
      <c r="I53" s="10" t="s">
        <v>214</v>
      </c>
      <c r="J53" s="10" t="s">
        <v>215</v>
      </c>
      <c r="K53" s="11" t="s">
        <v>822</v>
      </c>
      <c r="L53" s="10" t="s">
        <v>656</v>
      </c>
      <c r="M53" s="10" t="s">
        <v>641</v>
      </c>
      <c r="N53" s="11" t="s">
        <v>657</v>
      </c>
      <c r="O53" s="11" t="s">
        <v>658</v>
      </c>
      <c r="P53" s="10" t="s">
        <v>644</v>
      </c>
      <c r="Q53" s="10" t="s">
        <v>659</v>
      </c>
      <c r="R53" s="10" t="s">
        <v>646</v>
      </c>
    </row>
    <row r="54" ht="35.05" customHeight="1" spans="1:18" x14ac:dyDescent="0.25">
      <c r="A54" s="10" t="s">
        <v>823</v>
      </c>
      <c r="B54" s="10" t="s">
        <v>824</v>
      </c>
      <c r="C54" s="10" t="s">
        <v>825</v>
      </c>
      <c r="D54" s="10">
        <v>0</v>
      </c>
      <c r="E54" s="10" t="s">
        <v>637</v>
      </c>
      <c r="F54" s="10" t="s">
        <v>652</v>
      </c>
      <c r="G54" s="10">
        <v>8.49</v>
      </c>
      <c r="H54" s="10">
        <v>28.3</v>
      </c>
      <c r="I54" s="10" t="s">
        <v>214</v>
      </c>
      <c r="J54" s="10" t="s">
        <v>215</v>
      </c>
      <c r="K54" s="11" t="s">
        <v>826</v>
      </c>
      <c r="L54" s="10" t="s">
        <v>656</v>
      </c>
      <c r="M54" s="10" t="s">
        <v>641</v>
      </c>
      <c r="N54" s="11" t="s">
        <v>657</v>
      </c>
      <c r="O54" s="11" t="s">
        <v>658</v>
      </c>
      <c r="P54" s="10" t="s">
        <v>644</v>
      </c>
      <c r="Q54" s="10" t="s">
        <v>659</v>
      </c>
      <c r="R54" s="10" t="s">
        <v>646</v>
      </c>
    </row>
    <row r="55" ht="35.05" customHeight="1" spans="1:18" x14ac:dyDescent="0.25">
      <c r="A55" s="10" t="s">
        <v>827</v>
      </c>
      <c r="B55" s="10" t="s">
        <v>222</v>
      </c>
      <c r="C55" s="10" t="s">
        <v>223</v>
      </c>
      <c r="D55" s="10">
        <v>1</v>
      </c>
      <c r="E55" s="10" t="s">
        <v>637</v>
      </c>
      <c r="F55" s="10" t="s">
        <v>638</v>
      </c>
      <c r="G55" s="10">
        <v>0.95</v>
      </c>
      <c r="H55" s="10">
        <v>11.95</v>
      </c>
      <c r="I55" s="10" t="s">
        <v>181</v>
      </c>
      <c r="J55" s="10" t="s">
        <v>182</v>
      </c>
      <c r="K55" s="11" t="s">
        <v>828</v>
      </c>
      <c r="L55" s="10" t="s">
        <v>640</v>
      </c>
      <c r="M55" s="10" t="s">
        <v>641</v>
      </c>
      <c r="N55" s="11" t="s">
        <v>642</v>
      </c>
      <c r="O55" s="11" t="s">
        <v>643</v>
      </c>
      <c r="P55" s="10" t="s">
        <v>644</v>
      </c>
      <c r="Q55" s="10" t="s">
        <v>645</v>
      </c>
      <c r="R55" s="10" t="s">
        <v>646</v>
      </c>
    </row>
    <row r="56" ht="35.05" customHeight="1" spans="1:18" x14ac:dyDescent="0.25">
      <c r="A56" s="10" t="s">
        <v>829</v>
      </c>
      <c r="B56" s="10" t="s">
        <v>222</v>
      </c>
      <c r="C56" s="10" t="s">
        <v>223</v>
      </c>
      <c r="D56" s="10">
        <v>1</v>
      </c>
      <c r="E56" s="10" t="s">
        <v>637</v>
      </c>
      <c r="F56" s="10" t="s">
        <v>648</v>
      </c>
      <c r="G56" s="10">
        <v>3.03</v>
      </c>
      <c r="H56" s="10">
        <v>8.08</v>
      </c>
      <c r="I56" s="10" t="s">
        <v>181</v>
      </c>
      <c r="J56" s="10" t="s">
        <v>182</v>
      </c>
      <c r="K56" s="11" t="s">
        <v>828</v>
      </c>
      <c r="L56" s="10" t="s">
        <v>640</v>
      </c>
      <c r="M56" s="10" t="s">
        <v>641</v>
      </c>
      <c r="N56" s="11" t="s">
        <v>642</v>
      </c>
      <c r="O56" s="11" t="s">
        <v>643</v>
      </c>
      <c r="P56" s="10" t="s">
        <v>644</v>
      </c>
      <c r="Q56" s="10" t="s">
        <v>645</v>
      </c>
      <c r="R56" s="10" t="s">
        <v>646</v>
      </c>
    </row>
    <row r="57" ht="35.05" customHeight="1" spans="1:18" x14ac:dyDescent="0.25">
      <c r="A57" s="10" t="s">
        <v>830</v>
      </c>
      <c r="B57" s="10" t="s">
        <v>831</v>
      </c>
      <c r="C57" s="10" t="s">
        <v>832</v>
      </c>
      <c r="D57" s="10">
        <v>0</v>
      </c>
      <c r="E57" s="10" t="s">
        <v>637</v>
      </c>
      <c r="F57" s="10" t="s">
        <v>652</v>
      </c>
      <c r="G57" s="10">
        <v>0.84</v>
      </c>
      <c r="H57" s="10">
        <v>6.55</v>
      </c>
      <c r="I57" s="10" t="s">
        <v>833</v>
      </c>
      <c r="J57" s="10" t="s">
        <v>808</v>
      </c>
      <c r="K57" s="11" t="s">
        <v>834</v>
      </c>
      <c r="L57" s="10" t="s">
        <v>656</v>
      </c>
      <c r="M57" s="10" t="s">
        <v>641</v>
      </c>
      <c r="N57" s="11" t="s">
        <v>657</v>
      </c>
      <c r="O57" s="11" t="s">
        <v>658</v>
      </c>
      <c r="P57" s="10" t="s">
        <v>644</v>
      </c>
      <c r="Q57" s="10" t="s">
        <v>659</v>
      </c>
      <c r="R57" s="10" t="s">
        <v>646</v>
      </c>
    </row>
    <row r="58" ht="35.05" customHeight="1" spans="1:18" x14ac:dyDescent="0.25">
      <c r="A58" s="10" t="s">
        <v>835</v>
      </c>
      <c r="B58" s="10" t="s">
        <v>229</v>
      </c>
      <c r="C58" s="10" t="s">
        <v>230</v>
      </c>
      <c r="D58" s="10">
        <v>1</v>
      </c>
      <c r="E58" s="10" t="s">
        <v>637</v>
      </c>
      <c r="F58" s="10" t="s">
        <v>788</v>
      </c>
      <c r="G58" s="10">
        <v>11</v>
      </c>
      <c r="H58" s="10">
        <v>59</v>
      </c>
      <c r="I58" s="10" t="s">
        <v>181</v>
      </c>
      <c r="J58" s="10" t="s">
        <v>182</v>
      </c>
      <c r="K58" s="11" t="s">
        <v>836</v>
      </c>
      <c r="L58" s="10" t="s">
        <v>656</v>
      </c>
      <c r="M58" s="10" t="s">
        <v>641</v>
      </c>
      <c r="N58" s="11" t="s">
        <v>657</v>
      </c>
      <c r="O58" s="11" t="s">
        <v>658</v>
      </c>
      <c r="P58" s="10" t="s">
        <v>644</v>
      </c>
      <c r="Q58" s="10" t="s">
        <v>659</v>
      </c>
      <c r="R58" s="10" t="s">
        <v>646</v>
      </c>
    </row>
    <row r="59" ht="35.05" customHeight="1" spans="1:18" x14ac:dyDescent="0.25">
      <c r="A59" s="10" t="s">
        <v>837</v>
      </c>
      <c r="B59" s="10" t="s">
        <v>229</v>
      </c>
      <c r="C59" s="10" t="s">
        <v>230</v>
      </c>
      <c r="D59" s="10">
        <v>1</v>
      </c>
      <c r="E59" s="10" t="s">
        <v>637</v>
      </c>
      <c r="F59" s="10" t="s">
        <v>771</v>
      </c>
      <c r="G59" s="10">
        <v>8</v>
      </c>
      <c r="H59" s="10">
        <v>33</v>
      </c>
      <c r="I59" s="10" t="s">
        <v>181</v>
      </c>
      <c r="J59" s="10" t="s">
        <v>182</v>
      </c>
      <c r="K59" s="11" t="s">
        <v>836</v>
      </c>
      <c r="L59" s="10" t="s">
        <v>656</v>
      </c>
      <c r="M59" s="10" t="s">
        <v>641</v>
      </c>
      <c r="N59" s="11" t="s">
        <v>657</v>
      </c>
      <c r="O59" s="11" t="s">
        <v>658</v>
      </c>
      <c r="P59" s="10" t="s">
        <v>644</v>
      </c>
      <c r="Q59" s="10" t="s">
        <v>659</v>
      </c>
      <c r="R59" s="10" t="s">
        <v>646</v>
      </c>
    </row>
    <row r="60" ht="35.05" customHeight="1" spans="1:18" x14ac:dyDescent="0.25">
      <c r="A60" s="10" t="s">
        <v>838</v>
      </c>
      <c r="B60" s="10" t="s">
        <v>839</v>
      </c>
      <c r="C60" s="10" t="s">
        <v>840</v>
      </c>
      <c r="D60" s="10">
        <v>0</v>
      </c>
      <c r="E60" s="10" t="s">
        <v>637</v>
      </c>
      <c r="F60" s="10" t="s">
        <v>652</v>
      </c>
      <c r="G60" s="10"/>
      <c r="H60" s="10">
        <v>518.8</v>
      </c>
      <c r="I60" s="10" t="s">
        <v>214</v>
      </c>
      <c r="J60" s="10" t="s">
        <v>215</v>
      </c>
      <c r="K60" s="11" t="s">
        <v>841</v>
      </c>
      <c r="L60" s="10" t="s">
        <v>656</v>
      </c>
      <c r="M60" s="10" t="s">
        <v>641</v>
      </c>
      <c r="N60" s="11" t="s">
        <v>657</v>
      </c>
      <c r="O60" s="11" t="s">
        <v>658</v>
      </c>
      <c r="P60" s="10" t="s">
        <v>644</v>
      </c>
      <c r="Q60" s="10" t="s">
        <v>659</v>
      </c>
      <c r="R60" s="10" t="s">
        <v>646</v>
      </c>
    </row>
    <row r="61" ht="35.05" customHeight="1" spans="1:18" x14ac:dyDescent="0.25">
      <c r="A61" s="10" t="s">
        <v>842</v>
      </c>
      <c r="B61" s="10" t="s">
        <v>235</v>
      </c>
      <c r="C61" s="10" t="s">
        <v>236</v>
      </c>
      <c r="D61" s="10">
        <v>1</v>
      </c>
      <c r="E61" s="10" t="s">
        <v>637</v>
      </c>
      <c r="F61" s="10" t="s">
        <v>843</v>
      </c>
      <c r="G61" s="10">
        <v>64</v>
      </c>
      <c r="H61" s="10">
        <v>83</v>
      </c>
      <c r="I61" s="10" t="s">
        <v>239</v>
      </c>
      <c r="J61" s="10" t="s">
        <v>240</v>
      </c>
      <c r="K61" s="11" t="s">
        <v>844</v>
      </c>
      <c r="L61" s="10" t="s">
        <v>656</v>
      </c>
      <c r="M61" s="10" t="s">
        <v>641</v>
      </c>
      <c r="N61" s="11" t="s">
        <v>657</v>
      </c>
      <c r="O61" s="11" t="s">
        <v>658</v>
      </c>
      <c r="P61" s="10" t="s">
        <v>644</v>
      </c>
      <c r="Q61" s="10" t="s">
        <v>659</v>
      </c>
      <c r="R61" s="10" t="s">
        <v>646</v>
      </c>
    </row>
    <row r="62" ht="35.05" customHeight="1" spans="1:18" x14ac:dyDescent="0.25">
      <c r="A62" s="10" t="s">
        <v>845</v>
      </c>
      <c r="B62" s="10" t="s">
        <v>235</v>
      </c>
      <c r="C62" s="10" t="s">
        <v>236</v>
      </c>
      <c r="D62" s="10">
        <v>1</v>
      </c>
      <c r="E62" s="10" t="s">
        <v>637</v>
      </c>
      <c r="F62" s="10" t="s">
        <v>846</v>
      </c>
      <c r="G62" s="10">
        <v>62</v>
      </c>
      <c r="H62" s="10">
        <v>81</v>
      </c>
      <c r="I62" s="10" t="s">
        <v>239</v>
      </c>
      <c r="J62" s="10" t="s">
        <v>240</v>
      </c>
      <c r="K62" s="11" t="s">
        <v>844</v>
      </c>
      <c r="L62" s="10" t="s">
        <v>656</v>
      </c>
      <c r="M62" s="10" t="s">
        <v>641</v>
      </c>
      <c r="N62" s="11" t="s">
        <v>657</v>
      </c>
      <c r="O62" s="11" t="s">
        <v>658</v>
      </c>
      <c r="P62" s="10" t="s">
        <v>644</v>
      </c>
      <c r="Q62" s="10" t="s">
        <v>659</v>
      </c>
      <c r="R62" s="10" t="s">
        <v>646</v>
      </c>
    </row>
    <row r="63" ht="35.05" customHeight="1" spans="1:18" x14ac:dyDescent="0.25">
      <c r="A63" s="10" t="s">
        <v>847</v>
      </c>
      <c r="B63" s="10" t="s">
        <v>247</v>
      </c>
      <c r="C63" s="10" t="s">
        <v>248</v>
      </c>
      <c r="D63" s="10">
        <v>1</v>
      </c>
      <c r="E63" s="10" t="s">
        <v>637</v>
      </c>
      <c r="F63" s="10" t="s">
        <v>848</v>
      </c>
      <c r="G63" s="10"/>
      <c r="H63" s="10">
        <v>100</v>
      </c>
      <c r="I63" s="10" t="s">
        <v>167</v>
      </c>
      <c r="J63" s="10" t="s">
        <v>168</v>
      </c>
      <c r="K63" s="11" t="s">
        <v>849</v>
      </c>
      <c r="L63" s="10" t="s">
        <v>656</v>
      </c>
      <c r="M63" s="10" t="s">
        <v>641</v>
      </c>
      <c r="N63" s="11" t="s">
        <v>657</v>
      </c>
      <c r="O63" s="11" t="s">
        <v>658</v>
      </c>
      <c r="P63" s="10" t="s">
        <v>644</v>
      </c>
      <c r="Q63" s="10" t="s">
        <v>659</v>
      </c>
      <c r="R63" s="10" t="s">
        <v>646</v>
      </c>
    </row>
    <row r="64" ht="35.05" customHeight="1" spans="1:18" x14ac:dyDescent="0.25">
      <c r="A64" s="10" t="s">
        <v>850</v>
      </c>
      <c r="B64" s="10" t="s">
        <v>851</v>
      </c>
      <c r="C64" s="10" t="s">
        <v>852</v>
      </c>
      <c r="D64" s="10">
        <v>0</v>
      </c>
      <c r="E64" s="10" t="s">
        <v>637</v>
      </c>
      <c r="F64" s="10" t="s">
        <v>853</v>
      </c>
      <c r="G64" s="10">
        <v>66600</v>
      </c>
      <c r="H64" s="10"/>
      <c r="I64" s="10" t="s">
        <v>854</v>
      </c>
      <c r="J64" s="10" t="s">
        <v>855</v>
      </c>
      <c r="K64" s="11" t="s">
        <v>856</v>
      </c>
      <c r="L64" s="10" t="s">
        <v>656</v>
      </c>
      <c r="M64" s="10" t="s">
        <v>641</v>
      </c>
      <c r="N64" s="11" t="s">
        <v>657</v>
      </c>
      <c r="O64" s="11" t="s">
        <v>658</v>
      </c>
      <c r="P64" s="10" t="s">
        <v>644</v>
      </c>
      <c r="Q64" s="10" t="s">
        <v>659</v>
      </c>
      <c r="R64" s="10" t="s">
        <v>646</v>
      </c>
    </row>
    <row r="65" ht="35.05" customHeight="1" spans="1:18" x14ac:dyDescent="0.25">
      <c r="A65" s="10" t="s">
        <v>857</v>
      </c>
      <c r="B65" s="10" t="s">
        <v>259</v>
      </c>
      <c r="C65" s="10" t="s">
        <v>260</v>
      </c>
      <c r="D65" s="10">
        <v>1</v>
      </c>
      <c r="E65" s="10" t="s">
        <v>637</v>
      </c>
      <c r="F65" s="10" t="s">
        <v>788</v>
      </c>
      <c r="G65" s="10"/>
      <c r="H65" s="10">
        <v>50</v>
      </c>
      <c r="I65" s="10" t="s">
        <v>181</v>
      </c>
      <c r="J65" s="10" t="s">
        <v>182</v>
      </c>
      <c r="K65" s="11" t="s">
        <v>858</v>
      </c>
      <c r="L65" s="10" t="s">
        <v>656</v>
      </c>
      <c r="M65" s="10" t="s">
        <v>641</v>
      </c>
      <c r="N65" s="11" t="s">
        <v>657</v>
      </c>
      <c r="O65" s="11" t="s">
        <v>658</v>
      </c>
      <c r="P65" s="10" t="s">
        <v>644</v>
      </c>
      <c r="Q65" s="10" t="s">
        <v>659</v>
      </c>
      <c r="R65" s="10" t="s">
        <v>646</v>
      </c>
    </row>
    <row r="66" ht="35.05" customHeight="1" spans="1:18" x14ac:dyDescent="0.25">
      <c r="A66" s="10" t="s">
        <v>859</v>
      </c>
      <c r="B66" s="10" t="s">
        <v>259</v>
      </c>
      <c r="C66" s="10" t="s">
        <v>260</v>
      </c>
      <c r="D66" s="10">
        <v>1</v>
      </c>
      <c r="E66" s="10" t="s">
        <v>637</v>
      </c>
      <c r="F66" s="10" t="s">
        <v>771</v>
      </c>
      <c r="G66" s="10"/>
      <c r="H66" s="10">
        <v>35</v>
      </c>
      <c r="I66" s="10" t="s">
        <v>181</v>
      </c>
      <c r="J66" s="10" t="s">
        <v>182</v>
      </c>
      <c r="K66" s="11" t="s">
        <v>858</v>
      </c>
      <c r="L66" s="10" t="s">
        <v>656</v>
      </c>
      <c r="M66" s="10" t="s">
        <v>641</v>
      </c>
      <c r="N66" s="11" t="s">
        <v>657</v>
      </c>
      <c r="O66" s="11" t="s">
        <v>658</v>
      </c>
      <c r="P66" s="10" t="s">
        <v>644</v>
      </c>
      <c r="Q66" s="10" t="s">
        <v>659</v>
      </c>
      <c r="R66" s="10" t="s">
        <v>646</v>
      </c>
    </row>
    <row r="67" ht="35.05" customHeight="1" spans="1:18" x14ac:dyDescent="0.25">
      <c r="A67" s="10" t="s">
        <v>860</v>
      </c>
      <c r="B67" s="10" t="s">
        <v>264</v>
      </c>
      <c r="C67" s="10" t="s">
        <v>265</v>
      </c>
      <c r="D67" s="10">
        <v>1</v>
      </c>
      <c r="E67" s="10" t="s">
        <v>637</v>
      </c>
      <c r="F67" s="10" t="s">
        <v>788</v>
      </c>
      <c r="G67" s="10">
        <v>3.6</v>
      </c>
      <c r="H67" s="10">
        <v>8.2</v>
      </c>
      <c r="I67" s="10" t="s">
        <v>167</v>
      </c>
      <c r="J67" s="10" t="s">
        <v>168</v>
      </c>
      <c r="K67" s="11" t="s">
        <v>861</v>
      </c>
      <c r="L67" s="10" t="s">
        <v>656</v>
      </c>
      <c r="M67" s="10" t="s">
        <v>641</v>
      </c>
      <c r="N67" s="11" t="s">
        <v>657</v>
      </c>
      <c r="O67" s="11" t="s">
        <v>658</v>
      </c>
      <c r="P67" s="10" t="s">
        <v>644</v>
      </c>
      <c r="Q67" s="10" t="s">
        <v>659</v>
      </c>
      <c r="R67" s="10" t="s">
        <v>646</v>
      </c>
    </row>
    <row r="68" ht="35.05" customHeight="1" spans="1:18" x14ac:dyDescent="0.25">
      <c r="A68" s="10" t="s">
        <v>862</v>
      </c>
      <c r="B68" s="10" t="s">
        <v>264</v>
      </c>
      <c r="C68" s="10" t="s">
        <v>265</v>
      </c>
      <c r="D68" s="10">
        <v>1</v>
      </c>
      <c r="E68" s="10" t="s">
        <v>637</v>
      </c>
      <c r="F68" s="10" t="s">
        <v>771</v>
      </c>
      <c r="G68" s="10">
        <v>2.3</v>
      </c>
      <c r="H68" s="10">
        <v>6.1</v>
      </c>
      <c r="I68" s="10" t="s">
        <v>167</v>
      </c>
      <c r="J68" s="10" t="s">
        <v>168</v>
      </c>
      <c r="K68" s="11" t="s">
        <v>861</v>
      </c>
      <c r="L68" s="10" t="s">
        <v>656</v>
      </c>
      <c r="M68" s="10" t="s">
        <v>641</v>
      </c>
      <c r="N68" s="11" t="s">
        <v>657</v>
      </c>
      <c r="O68" s="11" t="s">
        <v>658</v>
      </c>
      <c r="P68" s="10" t="s">
        <v>644</v>
      </c>
      <c r="Q68" s="10" t="s">
        <v>659</v>
      </c>
      <c r="R68" s="10" t="s">
        <v>646</v>
      </c>
    </row>
    <row r="69" ht="35.05" customHeight="1" spans="1:18" x14ac:dyDescent="0.25">
      <c r="A69" s="10" t="s">
        <v>863</v>
      </c>
      <c r="B69" s="10" t="s">
        <v>864</v>
      </c>
      <c r="C69" s="10" t="s">
        <v>865</v>
      </c>
      <c r="D69" s="10">
        <v>0</v>
      </c>
      <c r="E69" s="10" t="s">
        <v>637</v>
      </c>
      <c r="F69" s="10" t="s">
        <v>866</v>
      </c>
      <c r="G69" s="10">
        <v>19</v>
      </c>
      <c r="H69" s="10">
        <v>44.1</v>
      </c>
      <c r="I69" s="10" t="s">
        <v>167</v>
      </c>
      <c r="J69" s="10" t="s">
        <v>168</v>
      </c>
      <c r="K69" s="11" t="s">
        <v>867</v>
      </c>
      <c r="L69" s="10" t="s">
        <v>656</v>
      </c>
      <c r="M69" s="10" t="s">
        <v>641</v>
      </c>
      <c r="N69" s="11" t="s">
        <v>657</v>
      </c>
      <c r="O69" s="11" t="s">
        <v>658</v>
      </c>
      <c r="P69" s="10" t="s">
        <v>644</v>
      </c>
      <c r="Q69" s="10" t="s">
        <v>659</v>
      </c>
      <c r="R69" s="10" t="s">
        <v>646</v>
      </c>
    </row>
    <row r="70" ht="35.05" customHeight="1" spans="1:18" x14ac:dyDescent="0.25">
      <c r="A70" s="10" t="s">
        <v>868</v>
      </c>
      <c r="B70" s="10" t="s">
        <v>864</v>
      </c>
      <c r="C70" s="10" t="s">
        <v>865</v>
      </c>
      <c r="D70" s="10">
        <v>0</v>
      </c>
      <c r="E70" s="10" t="s">
        <v>637</v>
      </c>
      <c r="F70" s="10" t="s">
        <v>771</v>
      </c>
      <c r="G70" s="10">
        <v>15</v>
      </c>
      <c r="H70" s="10">
        <v>40</v>
      </c>
      <c r="I70" s="10" t="s">
        <v>167</v>
      </c>
      <c r="J70" s="10" t="s">
        <v>168</v>
      </c>
      <c r="K70" s="11" t="s">
        <v>867</v>
      </c>
      <c r="L70" s="10" t="s">
        <v>656</v>
      </c>
      <c r="M70" s="10" t="s">
        <v>641</v>
      </c>
      <c r="N70" s="11" t="s">
        <v>657</v>
      </c>
      <c r="O70" s="11" t="s">
        <v>658</v>
      </c>
      <c r="P70" s="10" t="s">
        <v>644</v>
      </c>
      <c r="Q70" s="10" t="s">
        <v>659</v>
      </c>
      <c r="R70" s="10" t="s">
        <v>646</v>
      </c>
    </row>
    <row r="71" ht="35.05" customHeight="1" spans="1:18" x14ac:dyDescent="0.25">
      <c r="A71" s="10" t="s">
        <v>869</v>
      </c>
      <c r="B71" s="10" t="s">
        <v>274</v>
      </c>
      <c r="C71" s="10" t="s">
        <v>275</v>
      </c>
      <c r="D71" s="10">
        <v>1</v>
      </c>
      <c r="E71" s="10" t="s">
        <v>637</v>
      </c>
      <c r="F71" s="10" t="s">
        <v>652</v>
      </c>
      <c r="G71" s="10"/>
      <c r="H71" s="10">
        <v>5.7</v>
      </c>
      <c r="I71" s="10" t="s">
        <v>278</v>
      </c>
      <c r="J71" s="10" t="s">
        <v>278</v>
      </c>
      <c r="K71" s="11" t="s">
        <v>870</v>
      </c>
      <c r="L71" s="10" t="s">
        <v>656</v>
      </c>
      <c r="M71" s="10" t="s">
        <v>641</v>
      </c>
      <c r="N71" s="11" t="s">
        <v>657</v>
      </c>
      <c r="O71" s="11" t="s">
        <v>658</v>
      </c>
      <c r="P71" s="10" t="s">
        <v>644</v>
      </c>
      <c r="Q71" s="10" t="s">
        <v>659</v>
      </c>
      <c r="R71" s="10" t="s">
        <v>646</v>
      </c>
    </row>
    <row r="72" ht="35.05" customHeight="1" spans="1:18" x14ac:dyDescent="0.25">
      <c r="A72" s="10" t="s">
        <v>871</v>
      </c>
      <c r="B72" s="10" t="s">
        <v>281</v>
      </c>
      <c r="C72" s="10" t="s">
        <v>282</v>
      </c>
      <c r="D72" s="10">
        <v>1</v>
      </c>
      <c r="E72" s="10" t="s">
        <v>637</v>
      </c>
      <c r="F72" s="10" t="s">
        <v>872</v>
      </c>
      <c r="G72" s="10">
        <v>45</v>
      </c>
      <c r="H72" s="10"/>
      <c r="I72" s="10" t="s">
        <v>167</v>
      </c>
      <c r="J72" s="10" t="s">
        <v>168</v>
      </c>
      <c r="K72" s="11" t="s">
        <v>873</v>
      </c>
      <c r="L72" s="10" t="s">
        <v>656</v>
      </c>
      <c r="M72" s="10" t="s">
        <v>641</v>
      </c>
      <c r="N72" s="11" t="s">
        <v>657</v>
      </c>
      <c r="O72" s="11" t="s">
        <v>658</v>
      </c>
      <c r="P72" s="10" t="s">
        <v>644</v>
      </c>
      <c r="Q72" s="10" t="s">
        <v>659</v>
      </c>
      <c r="R72" s="10" t="s">
        <v>646</v>
      </c>
    </row>
    <row r="73" ht="35.05" customHeight="1" spans="1:18" x14ac:dyDescent="0.25">
      <c r="A73" s="10" t="s">
        <v>874</v>
      </c>
      <c r="B73" s="10" t="s">
        <v>281</v>
      </c>
      <c r="C73" s="10" t="s">
        <v>282</v>
      </c>
      <c r="D73" s="10">
        <v>1</v>
      </c>
      <c r="E73" s="10" t="s">
        <v>637</v>
      </c>
      <c r="F73" s="10" t="s">
        <v>638</v>
      </c>
      <c r="G73" s="10">
        <v>40</v>
      </c>
      <c r="H73" s="10"/>
      <c r="I73" s="10" t="s">
        <v>167</v>
      </c>
      <c r="J73" s="10" t="s">
        <v>168</v>
      </c>
      <c r="K73" s="11" t="s">
        <v>873</v>
      </c>
      <c r="L73" s="10" t="s">
        <v>656</v>
      </c>
      <c r="M73" s="10" t="s">
        <v>641</v>
      </c>
      <c r="N73" s="11" t="s">
        <v>657</v>
      </c>
      <c r="O73" s="11" t="s">
        <v>658</v>
      </c>
      <c r="P73" s="10" t="s">
        <v>644</v>
      </c>
      <c r="Q73" s="10" t="s">
        <v>659</v>
      </c>
      <c r="R73" s="10" t="s">
        <v>646</v>
      </c>
    </row>
    <row r="74" ht="35.05" customHeight="1" spans="1:18" x14ac:dyDescent="0.25">
      <c r="A74" s="10" t="s">
        <v>875</v>
      </c>
      <c r="B74" s="10" t="s">
        <v>876</v>
      </c>
      <c r="C74" s="10" t="s">
        <v>877</v>
      </c>
      <c r="D74" s="10">
        <v>0</v>
      </c>
      <c r="E74" s="10" t="s">
        <v>637</v>
      </c>
      <c r="F74" s="10" t="s">
        <v>652</v>
      </c>
      <c r="G74" s="10"/>
      <c r="H74" s="10">
        <v>65.5</v>
      </c>
      <c r="I74" s="10" t="s">
        <v>117</v>
      </c>
      <c r="J74" s="10" t="s">
        <v>118</v>
      </c>
      <c r="K74" s="11" t="s">
        <v>878</v>
      </c>
      <c r="L74" s="10" t="s">
        <v>656</v>
      </c>
      <c r="M74" s="10" t="s">
        <v>641</v>
      </c>
      <c r="N74" s="11" t="s">
        <v>657</v>
      </c>
      <c r="O74" s="11" t="s">
        <v>658</v>
      </c>
      <c r="P74" s="10" t="s">
        <v>644</v>
      </c>
      <c r="Q74" s="10" t="s">
        <v>659</v>
      </c>
      <c r="R74" s="10" t="s">
        <v>646</v>
      </c>
    </row>
    <row r="75" ht="35.05" customHeight="1" spans="1:18" x14ac:dyDescent="0.25">
      <c r="A75" s="10" t="s">
        <v>879</v>
      </c>
      <c r="B75" s="10" t="s">
        <v>880</v>
      </c>
      <c r="C75" s="10" t="s">
        <v>881</v>
      </c>
      <c r="D75" s="10">
        <v>0</v>
      </c>
      <c r="E75" s="10" t="s">
        <v>637</v>
      </c>
      <c r="F75" s="10" t="s">
        <v>652</v>
      </c>
      <c r="G75" s="10"/>
      <c r="H75" s="10">
        <v>600</v>
      </c>
      <c r="I75" s="10" t="s">
        <v>706</v>
      </c>
      <c r="J75" s="10" t="s">
        <v>706</v>
      </c>
      <c r="K75" s="11" t="s">
        <v>882</v>
      </c>
      <c r="L75" s="10" t="s">
        <v>656</v>
      </c>
      <c r="M75" s="10" t="s">
        <v>641</v>
      </c>
      <c r="N75" s="11" t="s">
        <v>657</v>
      </c>
      <c r="O75" s="11" t="s">
        <v>658</v>
      </c>
      <c r="P75" s="10" t="s">
        <v>644</v>
      </c>
      <c r="Q75" s="10" t="s">
        <v>659</v>
      </c>
      <c r="R75" s="10" t="s">
        <v>646</v>
      </c>
    </row>
    <row r="76" ht="35.05" customHeight="1" spans="1:18" x14ac:dyDescent="0.25">
      <c r="A76" s="10" t="s">
        <v>883</v>
      </c>
      <c r="B76" s="10" t="s">
        <v>301</v>
      </c>
      <c r="C76" s="10" t="s">
        <v>302</v>
      </c>
      <c r="D76" s="10">
        <v>1</v>
      </c>
      <c r="E76" s="10" t="s">
        <v>637</v>
      </c>
      <c r="F76" s="10" t="s">
        <v>652</v>
      </c>
      <c r="G76" s="10">
        <v>3.6</v>
      </c>
      <c r="H76" s="10">
        <v>5.5</v>
      </c>
      <c r="I76" s="10" t="s">
        <v>148</v>
      </c>
      <c r="J76" s="10" t="s">
        <v>149</v>
      </c>
      <c r="K76" s="11" t="s">
        <v>884</v>
      </c>
      <c r="L76" s="10" t="s">
        <v>640</v>
      </c>
      <c r="M76" s="10" t="s">
        <v>641</v>
      </c>
      <c r="N76" s="11" t="s">
        <v>642</v>
      </c>
      <c r="O76" s="11" t="s">
        <v>643</v>
      </c>
      <c r="P76" s="10" t="s">
        <v>644</v>
      </c>
      <c r="Q76" s="10" t="s">
        <v>645</v>
      </c>
      <c r="R76" s="10" t="s">
        <v>646</v>
      </c>
    </row>
    <row r="77" ht="35.05" customHeight="1" spans="1:18" x14ac:dyDescent="0.25">
      <c r="A77" s="10" t="s">
        <v>885</v>
      </c>
      <c r="B77" s="10" t="s">
        <v>886</v>
      </c>
      <c r="C77" s="10" t="s">
        <v>887</v>
      </c>
      <c r="D77" s="10">
        <v>0</v>
      </c>
      <c r="E77" s="10" t="s">
        <v>637</v>
      </c>
      <c r="F77" s="10" t="s">
        <v>652</v>
      </c>
      <c r="G77" s="10">
        <v>69</v>
      </c>
      <c r="H77" s="10">
        <v>129</v>
      </c>
      <c r="I77" s="10" t="s">
        <v>278</v>
      </c>
      <c r="J77" s="10" t="s">
        <v>278</v>
      </c>
      <c r="K77" s="11" t="s">
        <v>888</v>
      </c>
      <c r="L77" s="10" t="s">
        <v>656</v>
      </c>
      <c r="M77" s="10" t="s">
        <v>641</v>
      </c>
      <c r="N77" s="11" t="s">
        <v>657</v>
      </c>
      <c r="O77" s="11" t="s">
        <v>658</v>
      </c>
      <c r="P77" s="10" t="s">
        <v>644</v>
      </c>
      <c r="Q77" s="10" t="s">
        <v>659</v>
      </c>
      <c r="R77" s="10" t="s">
        <v>646</v>
      </c>
    </row>
    <row r="78" ht="35.05" customHeight="1" spans="1:18" x14ac:dyDescent="0.25">
      <c r="A78" s="10" t="s">
        <v>889</v>
      </c>
      <c r="B78" s="10" t="s">
        <v>311</v>
      </c>
      <c r="C78" s="10" t="s">
        <v>312</v>
      </c>
      <c r="D78" s="10">
        <v>1</v>
      </c>
      <c r="E78" s="10" t="s">
        <v>890</v>
      </c>
      <c r="F78" s="10" t="s">
        <v>891</v>
      </c>
      <c r="G78" s="10"/>
      <c r="H78" s="10">
        <v>100</v>
      </c>
      <c r="I78" s="10" t="s">
        <v>167</v>
      </c>
      <c r="J78" s="10" t="s">
        <v>168</v>
      </c>
      <c r="K78" s="11" t="s">
        <v>892</v>
      </c>
      <c r="L78" s="10" t="s">
        <v>640</v>
      </c>
      <c r="M78" s="10" t="s">
        <v>641</v>
      </c>
      <c r="N78" s="11" t="s">
        <v>642</v>
      </c>
      <c r="O78" s="11" t="s">
        <v>643</v>
      </c>
      <c r="P78" s="10" t="s">
        <v>644</v>
      </c>
      <c r="Q78" s="10" t="s">
        <v>645</v>
      </c>
      <c r="R78" s="10" t="s">
        <v>646</v>
      </c>
    </row>
    <row r="79" ht="35.05" customHeight="1" spans="1:18" x14ac:dyDescent="0.25">
      <c r="A79" s="10" t="s">
        <v>893</v>
      </c>
      <c r="B79" s="10" t="s">
        <v>311</v>
      </c>
      <c r="C79" s="10" t="s">
        <v>312</v>
      </c>
      <c r="D79" s="10">
        <v>1</v>
      </c>
      <c r="E79" s="10" t="s">
        <v>890</v>
      </c>
      <c r="F79" s="10" t="s">
        <v>894</v>
      </c>
      <c r="G79" s="10">
        <v>100</v>
      </c>
      <c r="H79" s="10">
        <v>129</v>
      </c>
      <c r="I79" s="10" t="s">
        <v>167</v>
      </c>
      <c r="J79" s="10" t="s">
        <v>168</v>
      </c>
      <c r="K79" s="11" t="s">
        <v>892</v>
      </c>
      <c r="L79" s="10" t="s">
        <v>640</v>
      </c>
      <c r="M79" s="10" t="s">
        <v>641</v>
      </c>
      <c r="N79" s="11" t="s">
        <v>642</v>
      </c>
      <c r="O79" s="11" t="s">
        <v>643</v>
      </c>
      <c r="P79" s="10" t="s">
        <v>644</v>
      </c>
      <c r="Q79" s="10" t="s">
        <v>645</v>
      </c>
      <c r="R79" s="10" t="s">
        <v>646</v>
      </c>
    </row>
    <row r="80" ht="35.05" customHeight="1" spans="1:18" x14ac:dyDescent="0.25">
      <c r="A80" s="10" t="s">
        <v>895</v>
      </c>
      <c r="B80" s="10" t="s">
        <v>311</v>
      </c>
      <c r="C80" s="10" t="s">
        <v>312</v>
      </c>
      <c r="D80" s="10">
        <v>1</v>
      </c>
      <c r="E80" s="10" t="s">
        <v>890</v>
      </c>
      <c r="F80" s="10" t="s">
        <v>896</v>
      </c>
      <c r="G80" s="10">
        <v>130</v>
      </c>
      <c r="H80" s="10">
        <v>159</v>
      </c>
      <c r="I80" s="10" t="s">
        <v>167</v>
      </c>
      <c r="J80" s="10" t="s">
        <v>168</v>
      </c>
      <c r="K80" s="11" t="s">
        <v>892</v>
      </c>
      <c r="L80" s="10" t="s">
        <v>640</v>
      </c>
      <c r="M80" s="10" t="s">
        <v>641</v>
      </c>
      <c r="N80" s="11" t="s">
        <v>642</v>
      </c>
      <c r="O80" s="11" t="s">
        <v>643</v>
      </c>
      <c r="P80" s="10" t="s">
        <v>644</v>
      </c>
      <c r="Q80" s="10" t="s">
        <v>645</v>
      </c>
      <c r="R80" s="10" t="s">
        <v>646</v>
      </c>
    </row>
    <row r="81" ht="35.05" customHeight="1" spans="1:18" x14ac:dyDescent="0.25">
      <c r="A81" s="10" t="s">
        <v>897</v>
      </c>
      <c r="B81" s="10" t="s">
        <v>311</v>
      </c>
      <c r="C81" s="10" t="s">
        <v>312</v>
      </c>
      <c r="D81" s="10">
        <v>1</v>
      </c>
      <c r="E81" s="10" t="s">
        <v>890</v>
      </c>
      <c r="F81" s="10" t="s">
        <v>898</v>
      </c>
      <c r="G81" s="10">
        <v>160</v>
      </c>
      <c r="H81" s="10">
        <v>189</v>
      </c>
      <c r="I81" s="10" t="s">
        <v>167</v>
      </c>
      <c r="J81" s="10" t="s">
        <v>168</v>
      </c>
      <c r="K81" s="11" t="s">
        <v>892</v>
      </c>
      <c r="L81" s="10" t="s">
        <v>640</v>
      </c>
      <c r="M81" s="10" t="s">
        <v>641</v>
      </c>
      <c r="N81" s="11" t="s">
        <v>642</v>
      </c>
      <c r="O81" s="11" t="s">
        <v>643</v>
      </c>
      <c r="P81" s="10" t="s">
        <v>644</v>
      </c>
      <c r="Q81" s="10" t="s">
        <v>645</v>
      </c>
      <c r="R81" s="10" t="s">
        <v>646</v>
      </c>
    </row>
    <row r="82" ht="35.05" customHeight="1" spans="1:18" x14ac:dyDescent="0.25">
      <c r="A82" s="10" t="s">
        <v>899</v>
      </c>
      <c r="B82" s="10" t="s">
        <v>311</v>
      </c>
      <c r="C82" s="10" t="s">
        <v>312</v>
      </c>
      <c r="D82" s="10">
        <v>1</v>
      </c>
      <c r="E82" s="10" t="s">
        <v>890</v>
      </c>
      <c r="F82" s="10" t="s">
        <v>900</v>
      </c>
      <c r="G82" s="10">
        <v>190</v>
      </c>
      <c r="H82" s="10"/>
      <c r="I82" s="10" t="s">
        <v>167</v>
      </c>
      <c r="J82" s="10" t="s">
        <v>168</v>
      </c>
      <c r="K82" s="11" t="s">
        <v>892</v>
      </c>
      <c r="L82" s="10" t="s">
        <v>640</v>
      </c>
      <c r="M82" s="10" t="s">
        <v>641</v>
      </c>
      <c r="N82" s="11" t="s">
        <v>642</v>
      </c>
      <c r="O82" s="11" t="s">
        <v>643</v>
      </c>
      <c r="P82" s="10" t="s">
        <v>644</v>
      </c>
      <c r="Q82" s="10" t="s">
        <v>645</v>
      </c>
      <c r="R82" s="10" t="s">
        <v>646</v>
      </c>
    </row>
    <row r="83" ht="35.05" customHeight="1" spans="1:18" x14ac:dyDescent="0.25">
      <c r="A83" s="10" t="s">
        <v>901</v>
      </c>
      <c r="B83" s="10" t="s">
        <v>315</v>
      </c>
      <c r="C83" s="10" t="s">
        <v>316</v>
      </c>
      <c r="D83" s="10">
        <v>1</v>
      </c>
      <c r="E83" s="10" t="s">
        <v>637</v>
      </c>
      <c r="F83" s="10" t="s">
        <v>638</v>
      </c>
      <c r="G83" s="10">
        <v>1.14</v>
      </c>
      <c r="H83" s="10">
        <v>8.75</v>
      </c>
      <c r="I83" s="10" t="s">
        <v>181</v>
      </c>
      <c r="J83" s="10" t="s">
        <v>182</v>
      </c>
      <c r="K83" s="11" t="s">
        <v>902</v>
      </c>
      <c r="L83" s="10" t="s">
        <v>640</v>
      </c>
      <c r="M83" s="10" t="s">
        <v>641</v>
      </c>
      <c r="N83" s="11" t="s">
        <v>642</v>
      </c>
      <c r="O83" s="11" t="s">
        <v>643</v>
      </c>
      <c r="P83" s="10" t="s">
        <v>644</v>
      </c>
      <c r="Q83" s="10" t="s">
        <v>645</v>
      </c>
      <c r="R83" s="10" t="s">
        <v>646</v>
      </c>
    </row>
    <row r="84" ht="35.05" customHeight="1" spans="1:18" x14ac:dyDescent="0.25">
      <c r="A84" s="10" t="s">
        <v>903</v>
      </c>
      <c r="B84" s="10" t="s">
        <v>315</v>
      </c>
      <c r="C84" s="10" t="s">
        <v>316</v>
      </c>
      <c r="D84" s="10">
        <v>1</v>
      </c>
      <c r="E84" s="10" t="s">
        <v>637</v>
      </c>
      <c r="F84" s="10" t="s">
        <v>648</v>
      </c>
      <c r="G84" s="10">
        <v>2.39</v>
      </c>
      <c r="H84" s="10">
        <v>6.6</v>
      </c>
      <c r="I84" s="10" t="s">
        <v>181</v>
      </c>
      <c r="J84" s="10" t="s">
        <v>182</v>
      </c>
      <c r="K84" s="11" t="s">
        <v>902</v>
      </c>
      <c r="L84" s="10" t="s">
        <v>640</v>
      </c>
      <c r="M84" s="10" t="s">
        <v>641</v>
      </c>
      <c r="N84" s="11" t="s">
        <v>642</v>
      </c>
      <c r="O84" s="11" t="s">
        <v>643</v>
      </c>
      <c r="P84" s="10" t="s">
        <v>644</v>
      </c>
      <c r="Q84" s="10" t="s">
        <v>645</v>
      </c>
      <c r="R84" s="10" t="s">
        <v>646</v>
      </c>
    </row>
    <row r="85" ht="35.05" customHeight="1" spans="1:18" x14ac:dyDescent="0.25">
      <c r="A85" s="10" t="s">
        <v>904</v>
      </c>
      <c r="B85" s="10" t="s">
        <v>323</v>
      </c>
      <c r="C85" s="10" t="s">
        <v>324</v>
      </c>
      <c r="D85" s="10">
        <v>1</v>
      </c>
      <c r="E85" s="10" t="s">
        <v>637</v>
      </c>
      <c r="F85" s="10" t="s">
        <v>652</v>
      </c>
      <c r="G85" s="10">
        <v>0.75</v>
      </c>
      <c r="H85" s="10">
        <v>1.1</v>
      </c>
      <c r="I85" s="10" t="s">
        <v>148</v>
      </c>
      <c r="J85" s="10" t="s">
        <v>149</v>
      </c>
      <c r="K85" s="11" t="s">
        <v>905</v>
      </c>
      <c r="L85" s="10" t="s">
        <v>640</v>
      </c>
      <c r="M85" s="10" t="s">
        <v>641</v>
      </c>
      <c r="N85" s="11" t="s">
        <v>642</v>
      </c>
      <c r="O85" s="11" t="s">
        <v>643</v>
      </c>
      <c r="P85" s="10" t="s">
        <v>644</v>
      </c>
      <c r="Q85" s="10" t="s">
        <v>645</v>
      </c>
      <c r="R85" s="10" t="s">
        <v>646</v>
      </c>
    </row>
    <row r="86" ht="35.05" customHeight="1" spans="1:18" x14ac:dyDescent="0.25">
      <c r="A86" s="10" t="s">
        <v>906</v>
      </c>
      <c r="B86" s="10" t="s">
        <v>329</v>
      </c>
      <c r="C86" s="10" t="s">
        <v>330</v>
      </c>
      <c r="D86" s="10">
        <v>1</v>
      </c>
      <c r="E86" s="10" t="s">
        <v>637</v>
      </c>
      <c r="F86" s="10" t="s">
        <v>652</v>
      </c>
      <c r="G86" s="10">
        <v>135</v>
      </c>
      <c r="H86" s="10">
        <v>145</v>
      </c>
      <c r="I86" s="10" t="s">
        <v>148</v>
      </c>
      <c r="J86" s="10" t="s">
        <v>149</v>
      </c>
      <c r="K86" s="11" t="s">
        <v>907</v>
      </c>
      <c r="L86" s="10" t="s">
        <v>640</v>
      </c>
      <c r="M86" s="10" t="s">
        <v>641</v>
      </c>
      <c r="N86" s="11" t="s">
        <v>642</v>
      </c>
      <c r="O86" s="11" t="s">
        <v>643</v>
      </c>
      <c r="P86" s="10" t="s">
        <v>644</v>
      </c>
      <c r="Q86" s="10" t="s">
        <v>645</v>
      </c>
      <c r="R86" s="10" t="s">
        <v>646</v>
      </c>
    </row>
    <row r="87" ht="35.05" customHeight="1" spans="1:18" x14ac:dyDescent="0.25">
      <c r="A87" s="10" t="s">
        <v>908</v>
      </c>
      <c r="B87" s="10" t="s">
        <v>909</v>
      </c>
      <c r="C87" s="10" t="s">
        <v>910</v>
      </c>
      <c r="D87" s="10">
        <v>0</v>
      </c>
      <c r="E87" s="10" t="s">
        <v>637</v>
      </c>
      <c r="F87" s="10" t="s">
        <v>911</v>
      </c>
      <c r="G87" s="10">
        <v>1.8</v>
      </c>
      <c r="H87" s="10">
        <v>10.4</v>
      </c>
      <c r="I87" s="10" t="s">
        <v>214</v>
      </c>
      <c r="J87" s="10" t="s">
        <v>215</v>
      </c>
      <c r="K87" s="11" t="s">
        <v>912</v>
      </c>
      <c r="L87" s="10" t="s">
        <v>656</v>
      </c>
      <c r="M87" s="10" t="s">
        <v>641</v>
      </c>
      <c r="N87" s="11" t="s">
        <v>657</v>
      </c>
      <c r="O87" s="11" t="s">
        <v>658</v>
      </c>
      <c r="P87" s="10" t="s">
        <v>644</v>
      </c>
      <c r="Q87" s="10" t="s">
        <v>659</v>
      </c>
      <c r="R87" s="10" t="s">
        <v>646</v>
      </c>
    </row>
    <row r="88" ht="35.05" customHeight="1" spans="1:18" x14ac:dyDescent="0.25">
      <c r="A88" s="10" t="s">
        <v>913</v>
      </c>
      <c r="B88" s="10" t="s">
        <v>909</v>
      </c>
      <c r="C88" s="10" t="s">
        <v>910</v>
      </c>
      <c r="D88" s="10">
        <v>0</v>
      </c>
      <c r="E88" s="10" t="s">
        <v>637</v>
      </c>
      <c r="F88" s="10" t="s">
        <v>914</v>
      </c>
      <c r="G88" s="10">
        <v>2.1</v>
      </c>
      <c r="H88" s="10">
        <v>13.3</v>
      </c>
      <c r="I88" s="10" t="s">
        <v>214</v>
      </c>
      <c r="J88" s="10" t="s">
        <v>215</v>
      </c>
      <c r="K88" s="11" t="s">
        <v>912</v>
      </c>
      <c r="L88" s="10" t="s">
        <v>656</v>
      </c>
      <c r="M88" s="10" t="s">
        <v>641</v>
      </c>
      <c r="N88" s="11" t="s">
        <v>657</v>
      </c>
      <c r="O88" s="11" t="s">
        <v>658</v>
      </c>
      <c r="P88" s="10" t="s">
        <v>644</v>
      </c>
      <c r="Q88" s="10" t="s">
        <v>659</v>
      </c>
      <c r="R88" s="10" t="s">
        <v>646</v>
      </c>
    </row>
    <row r="89" ht="35.05" customHeight="1" spans="1:18" x14ac:dyDescent="0.25">
      <c r="A89" s="10" t="s">
        <v>915</v>
      </c>
      <c r="B89" s="10" t="s">
        <v>909</v>
      </c>
      <c r="C89" s="10" t="s">
        <v>910</v>
      </c>
      <c r="D89" s="10">
        <v>0</v>
      </c>
      <c r="E89" s="10" t="s">
        <v>637</v>
      </c>
      <c r="F89" s="10" t="s">
        <v>916</v>
      </c>
      <c r="G89" s="10">
        <v>2.5</v>
      </c>
      <c r="H89" s="10">
        <v>17</v>
      </c>
      <c r="I89" s="10" t="s">
        <v>214</v>
      </c>
      <c r="J89" s="10" t="s">
        <v>215</v>
      </c>
      <c r="K89" s="11" t="s">
        <v>912</v>
      </c>
      <c r="L89" s="10" t="s">
        <v>656</v>
      </c>
      <c r="M89" s="10" t="s">
        <v>641</v>
      </c>
      <c r="N89" s="11" t="s">
        <v>657</v>
      </c>
      <c r="O89" s="11" t="s">
        <v>658</v>
      </c>
      <c r="P89" s="10" t="s">
        <v>644</v>
      </c>
      <c r="Q89" s="10" t="s">
        <v>659</v>
      </c>
      <c r="R89" s="10" t="s">
        <v>646</v>
      </c>
    </row>
    <row r="90" ht="35.05" customHeight="1" spans="1:18" x14ac:dyDescent="0.25">
      <c r="A90" s="10" t="s">
        <v>917</v>
      </c>
      <c r="B90" s="10" t="s">
        <v>918</v>
      </c>
      <c r="C90" s="10" t="s">
        <v>919</v>
      </c>
      <c r="D90" s="10">
        <v>0</v>
      </c>
      <c r="E90" s="10" t="s">
        <v>637</v>
      </c>
      <c r="F90" s="10" t="s">
        <v>652</v>
      </c>
      <c r="G90" s="10">
        <v>200</v>
      </c>
      <c r="H90" s="10"/>
      <c r="I90" s="10" t="s">
        <v>156</v>
      </c>
      <c r="J90" s="10" t="s">
        <v>157</v>
      </c>
      <c r="K90" s="11" t="s">
        <v>920</v>
      </c>
      <c r="L90" s="10" t="s">
        <v>656</v>
      </c>
      <c r="M90" s="10" t="s">
        <v>641</v>
      </c>
      <c r="N90" s="11" t="s">
        <v>657</v>
      </c>
      <c r="O90" s="11" t="s">
        <v>658</v>
      </c>
      <c r="P90" s="10" t="s">
        <v>644</v>
      </c>
      <c r="Q90" s="10" t="s">
        <v>659</v>
      </c>
      <c r="R90" s="10" t="s">
        <v>646</v>
      </c>
    </row>
    <row r="91" ht="35.05" customHeight="1" spans="1:18" x14ac:dyDescent="0.25">
      <c r="A91" s="10" t="s">
        <v>921</v>
      </c>
      <c r="B91" s="10" t="s">
        <v>922</v>
      </c>
      <c r="C91" s="10" t="s">
        <v>923</v>
      </c>
      <c r="D91" s="10">
        <v>0</v>
      </c>
      <c r="E91" s="10" t="s">
        <v>637</v>
      </c>
      <c r="F91" s="10" t="s">
        <v>692</v>
      </c>
      <c r="G91" s="10">
        <v>0.74</v>
      </c>
      <c r="H91" s="10">
        <v>1.52</v>
      </c>
      <c r="I91" s="10" t="s">
        <v>148</v>
      </c>
      <c r="J91" s="10" t="s">
        <v>149</v>
      </c>
      <c r="K91" s="11" t="s">
        <v>924</v>
      </c>
      <c r="L91" s="10" t="s">
        <v>656</v>
      </c>
      <c r="M91" s="10" t="s">
        <v>641</v>
      </c>
      <c r="N91" s="11" t="s">
        <v>657</v>
      </c>
      <c r="O91" s="11" t="s">
        <v>658</v>
      </c>
      <c r="P91" s="10" t="s">
        <v>644</v>
      </c>
      <c r="Q91" s="10" t="s">
        <v>659</v>
      </c>
      <c r="R91" s="10" t="s">
        <v>646</v>
      </c>
    </row>
    <row r="92" ht="35.05" customHeight="1" spans="1:18" x14ac:dyDescent="0.25">
      <c r="A92" s="10" t="s">
        <v>925</v>
      </c>
      <c r="B92" s="10" t="s">
        <v>339</v>
      </c>
      <c r="C92" s="10" t="s">
        <v>340</v>
      </c>
      <c r="D92" s="10">
        <v>1</v>
      </c>
      <c r="E92" s="10" t="s">
        <v>637</v>
      </c>
      <c r="F92" s="10" t="s">
        <v>648</v>
      </c>
      <c r="G92" s="10"/>
      <c r="H92" s="10">
        <v>0.96</v>
      </c>
      <c r="I92" s="10" t="s">
        <v>343</v>
      </c>
      <c r="J92" s="10" t="s">
        <v>344</v>
      </c>
      <c r="K92" s="11" t="s">
        <v>926</v>
      </c>
      <c r="L92" s="10" t="s">
        <v>640</v>
      </c>
      <c r="M92" s="10" t="s">
        <v>641</v>
      </c>
      <c r="N92" s="11" t="s">
        <v>642</v>
      </c>
      <c r="O92" s="11" t="s">
        <v>643</v>
      </c>
      <c r="P92" s="10" t="s">
        <v>644</v>
      </c>
      <c r="Q92" s="10" t="s">
        <v>645</v>
      </c>
      <c r="R92" s="10" t="s">
        <v>646</v>
      </c>
    </row>
    <row r="93" ht="35.05" customHeight="1" spans="1:18" x14ac:dyDescent="0.25">
      <c r="A93" s="10" t="s">
        <v>927</v>
      </c>
      <c r="B93" s="10" t="s">
        <v>345</v>
      </c>
      <c r="C93" s="10" t="s">
        <v>346</v>
      </c>
      <c r="D93" s="10">
        <v>1</v>
      </c>
      <c r="E93" s="10" t="s">
        <v>637</v>
      </c>
      <c r="F93" s="10" t="s">
        <v>638</v>
      </c>
      <c r="G93" s="10">
        <v>3.46</v>
      </c>
      <c r="H93" s="10">
        <v>19.4</v>
      </c>
      <c r="I93" s="10" t="s">
        <v>139</v>
      </c>
      <c r="J93" s="10" t="s">
        <v>140</v>
      </c>
      <c r="K93" s="11" t="s">
        <v>928</v>
      </c>
      <c r="L93" s="10" t="s">
        <v>640</v>
      </c>
      <c r="M93" s="10" t="s">
        <v>641</v>
      </c>
      <c r="N93" s="11" t="s">
        <v>642</v>
      </c>
      <c r="O93" s="11" t="s">
        <v>643</v>
      </c>
      <c r="P93" s="10" t="s">
        <v>644</v>
      </c>
      <c r="Q93" s="10" t="s">
        <v>645</v>
      </c>
      <c r="R93" s="10" t="s">
        <v>646</v>
      </c>
    </row>
    <row r="94" ht="35.05" customHeight="1" spans="1:18" x14ac:dyDescent="0.25">
      <c r="A94" s="10" t="s">
        <v>929</v>
      </c>
      <c r="B94" s="10" t="s">
        <v>345</v>
      </c>
      <c r="C94" s="10" t="s">
        <v>346</v>
      </c>
      <c r="D94" s="10">
        <v>1</v>
      </c>
      <c r="E94" s="10" t="s">
        <v>637</v>
      </c>
      <c r="F94" s="10" t="s">
        <v>771</v>
      </c>
      <c r="G94" s="10">
        <v>5.18</v>
      </c>
      <c r="H94" s="10">
        <v>26.53</v>
      </c>
      <c r="I94" s="10" t="s">
        <v>139</v>
      </c>
      <c r="J94" s="10" t="s">
        <v>140</v>
      </c>
      <c r="K94" s="11" t="s">
        <v>928</v>
      </c>
      <c r="L94" s="10" t="s">
        <v>640</v>
      </c>
      <c r="M94" s="10" t="s">
        <v>641</v>
      </c>
      <c r="N94" s="11" t="s">
        <v>642</v>
      </c>
      <c r="O94" s="11" t="s">
        <v>643</v>
      </c>
      <c r="P94" s="10" t="s">
        <v>644</v>
      </c>
      <c r="Q94" s="10" t="s">
        <v>645</v>
      </c>
      <c r="R94" s="10" t="s">
        <v>646</v>
      </c>
    </row>
    <row r="95" ht="35.05" customHeight="1" spans="1:18" x14ac:dyDescent="0.25">
      <c r="A95" s="10" t="s">
        <v>930</v>
      </c>
      <c r="B95" s="10" t="s">
        <v>367</v>
      </c>
      <c r="C95" s="10" t="s">
        <v>368</v>
      </c>
      <c r="D95" s="10">
        <v>1</v>
      </c>
      <c r="E95" s="10" t="s">
        <v>637</v>
      </c>
      <c r="F95" s="10" t="s">
        <v>638</v>
      </c>
      <c r="G95" s="10">
        <v>7.09</v>
      </c>
      <c r="H95" s="10">
        <v>32.9</v>
      </c>
      <c r="I95" s="10" t="s">
        <v>343</v>
      </c>
      <c r="J95" s="10" t="s">
        <v>344</v>
      </c>
      <c r="K95" s="11" t="s">
        <v>931</v>
      </c>
      <c r="L95" s="10" t="s">
        <v>640</v>
      </c>
      <c r="M95" s="10" t="s">
        <v>641</v>
      </c>
      <c r="N95" s="11" t="s">
        <v>642</v>
      </c>
      <c r="O95" s="11" t="s">
        <v>643</v>
      </c>
      <c r="P95" s="10" t="s">
        <v>644</v>
      </c>
      <c r="Q95" s="10" t="s">
        <v>645</v>
      </c>
      <c r="R95" s="10" t="s">
        <v>646</v>
      </c>
    </row>
    <row r="96" ht="35.05" customHeight="1" spans="1:18" x14ac:dyDescent="0.25">
      <c r="A96" s="10" t="s">
        <v>932</v>
      </c>
      <c r="B96" s="10" t="s">
        <v>367</v>
      </c>
      <c r="C96" s="10" t="s">
        <v>368</v>
      </c>
      <c r="D96" s="10">
        <v>1</v>
      </c>
      <c r="E96" s="10" t="s">
        <v>637</v>
      </c>
      <c r="F96" s="10" t="s">
        <v>771</v>
      </c>
      <c r="G96" s="10">
        <v>0.94</v>
      </c>
      <c r="H96" s="10">
        <v>4.75</v>
      </c>
      <c r="I96" s="10" t="s">
        <v>343</v>
      </c>
      <c r="J96" s="10" t="s">
        <v>344</v>
      </c>
      <c r="K96" s="11" t="s">
        <v>931</v>
      </c>
      <c r="L96" s="10" t="s">
        <v>640</v>
      </c>
      <c r="M96" s="10" t="s">
        <v>641</v>
      </c>
      <c r="N96" s="11" t="s">
        <v>642</v>
      </c>
      <c r="O96" s="11" t="s">
        <v>643</v>
      </c>
      <c r="P96" s="10" t="s">
        <v>644</v>
      </c>
      <c r="Q96" s="10" t="s">
        <v>645</v>
      </c>
      <c r="R96" s="10" t="s">
        <v>646</v>
      </c>
    </row>
    <row r="97" ht="35.05" customHeight="1" spans="1:18" x14ac:dyDescent="0.25">
      <c r="A97" s="10" t="s">
        <v>933</v>
      </c>
      <c r="B97" s="10" t="s">
        <v>371</v>
      </c>
      <c r="C97" s="10" t="s">
        <v>372</v>
      </c>
      <c r="D97" s="10">
        <v>1</v>
      </c>
      <c r="E97" s="10" t="s">
        <v>637</v>
      </c>
      <c r="F97" s="10" t="s">
        <v>652</v>
      </c>
      <c r="G97" s="10">
        <v>44</v>
      </c>
      <c r="H97" s="10">
        <v>150</v>
      </c>
      <c r="I97" s="10" t="s">
        <v>167</v>
      </c>
      <c r="J97" s="10" t="s">
        <v>168</v>
      </c>
      <c r="K97" s="11" t="s">
        <v>934</v>
      </c>
      <c r="L97" s="10" t="s">
        <v>640</v>
      </c>
      <c r="M97" s="10" t="s">
        <v>641</v>
      </c>
      <c r="N97" s="11" t="s">
        <v>642</v>
      </c>
      <c r="O97" s="11" t="s">
        <v>643</v>
      </c>
      <c r="P97" s="10" t="s">
        <v>644</v>
      </c>
      <c r="Q97" s="10" t="s">
        <v>645</v>
      </c>
      <c r="R97" s="10" t="s">
        <v>646</v>
      </c>
    </row>
    <row r="98" ht="35.05" customHeight="1" spans="1:18" x14ac:dyDescent="0.25">
      <c r="A98" s="10" t="s">
        <v>935</v>
      </c>
      <c r="B98" s="10" t="s">
        <v>375</v>
      </c>
      <c r="C98" s="10" t="s">
        <v>376</v>
      </c>
      <c r="D98" s="10">
        <v>1</v>
      </c>
      <c r="E98" s="10" t="s">
        <v>637</v>
      </c>
      <c r="F98" s="10" t="s">
        <v>652</v>
      </c>
      <c r="G98" s="10">
        <v>0.35</v>
      </c>
      <c r="H98" s="10">
        <v>4.94</v>
      </c>
      <c r="I98" s="10" t="s">
        <v>379</v>
      </c>
      <c r="J98" s="10" t="s">
        <v>380</v>
      </c>
      <c r="K98" s="11" t="s">
        <v>936</v>
      </c>
      <c r="L98" s="10" t="s">
        <v>640</v>
      </c>
      <c r="M98" s="10" t="s">
        <v>641</v>
      </c>
      <c r="N98" s="11" t="s">
        <v>642</v>
      </c>
      <c r="O98" s="11" t="s">
        <v>643</v>
      </c>
      <c r="P98" s="10" t="s">
        <v>644</v>
      </c>
      <c r="Q98" s="10" t="s">
        <v>645</v>
      </c>
      <c r="R98" s="10" t="s">
        <v>646</v>
      </c>
    </row>
    <row r="99" ht="35.05" customHeight="1" spans="1:18" x14ac:dyDescent="0.25">
      <c r="A99" s="10" t="s">
        <v>937</v>
      </c>
      <c r="B99" s="10" t="s">
        <v>395</v>
      </c>
      <c r="C99" s="10" t="s">
        <v>396</v>
      </c>
      <c r="D99" s="10">
        <v>1</v>
      </c>
      <c r="E99" s="10" t="s">
        <v>637</v>
      </c>
      <c r="F99" s="10" t="s">
        <v>692</v>
      </c>
      <c r="G99" s="10">
        <v>187</v>
      </c>
      <c r="H99" s="10">
        <v>883</v>
      </c>
      <c r="I99" s="10" t="s">
        <v>214</v>
      </c>
      <c r="J99" s="10" t="s">
        <v>215</v>
      </c>
      <c r="K99" s="11" t="s">
        <v>938</v>
      </c>
      <c r="L99" s="10" t="s">
        <v>656</v>
      </c>
      <c r="M99" s="10" t="s">
        <v>641</v>
      </c>
      <c r="N99" s="11" t="s">
        <v>657</v>
      </c>
      <c r="O99" s="11" t="s">
        <v>658</v>
      </c>
      <c r="P99" s="10" t="s">
        <v>644</v>
      </c>
      <c r="Q99" s="10" t="s">
        <v>659</v>
      </c>
      <c r="R99" s="10" t="s">
        <v>646</v>
      </c>
    </row>
    <row r="101" ht="15" customHeight="1" spans="1:1" x14ac:dyDescent="0.25">
      <c r="A101" s="3" t="s">
        <v>939</v>
      </c>
    </row>
    <row r="102" ht="15" customHeight="1" spans="1:1" x14ac:dyDescent="0.25">
      <c r="A102" s="2" t="s">
        <v>940</v>
      </c>
    </row>
    <row r="103" ht="15" customHeight="1" spans="1:1" x14ac:dyDescent="0.25">
      <c r="A103" s="2" t="s">
        <v>941</v>
      </c>
    </row>
    <row r="104" ht="15" customHeight="1" spans="1:1" x14ac:dyDescent="0.25">
      <c r="A104" s="2" t="s">
        <v>942</v>
      </c>
    </row>
    <row r="105" ht="15" customHeight="1" spans="1:1" x14ac:dyDescent="0.25">
      <c r="A105" s="2" t="s">
        <v>943</v>
      </c>
    </row>
  </sheetData>
  <autoFilter ref="A1:R99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3" customWidth="1"/>
    <col min="2" max="2" width="30" customWidth="1"/>
    <col min="3" max="3" width="12" customWidth="1"/>
    <col min="4" max="4" width="50" customWidth="1"/>
    <col min="5" max="5" width="13" customWidth="1"/>
    <col min="6" max="6" width="14" customWidth="1"/>
    <col min="7" max="7" width="12" customWidth="1"/>
    <col min="8" max="8" width="30" customWidth="1"/>
    <col min="9" max="9" width="22" customWidth="1"/>
    <col min="10" max="10" width="46" customWidth="1"/>
  </cols>
  <sheetData>
    <row r="1" ht="30" customHeight="1" spans="1:10" x14ac:dyDescent="0.25">
      <c r="A1" s="9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944</v>
      </c>
      <c r="G1" s="9" t="s">
        <v>622</v>
      </c>
      <c r="H1" s="9" t="s">
        <v>945</v>
      </c>
      <c r="I1" s="9" t="s">
        <v>946</v>
      </c>
      <c r="J1" s="9" t="s">
        <v>947</v>
      </c>
    </row>
    <row r="2" ht="15" customHeight="1" spans="1:10" x14ac:dyDescent="0.25">
      <c r="A2" s="10" t="s">
        <v>100</v>
      </c>
      <c r="B2" s="10" t="s">
        <v>101</v>
      </c>
      <c r="C2" s="10" t="s">
        <v>102</v>
      </c>
      <c r="D2" s="11" t="s">
        <v>103</v>
      </c>
      <c r="E2" s="10" t="s">
        <v>104</v>
      </c>
      <c r="F2" s="10" t="s">
        <v>105</v>
      </c>
      <c r="G2" s="10">
        <v>1</v>
      </c>
      <c r="H2" s="10" t="s">
        <v>948</v>
      </c>
      <c r="I2" s="10" t="s">
        <v>76</v>
      </c>
      <c r="J2" s="10" t="s">
        <v>949</v>
      </c>
    </row>
    <row r="3" ht="23.85" customHeight="1" spans="1:10" x14ac:dyDescent="0.25">
      <c r="A3" s="10" t="s">
        <v>113</v>
      </c>
      <c r="B3" s="10" t="s">
        <v>114</v>
      </c>
      <c r="C3" s="10" t="s">
        <v>115</v>
      </c>
      <c r="D3" s="11" t="s">
        <v>116</v>
      </c>
      <c r="E3" s="10" t="s">
        <v>104</v>
      </c>
      <c r="F3" s="10" t="s">
        <v>117</v>
      </c>
      <c r="G3" s="10">
        <v>1</v>
      </c>
      <c r="H3" s="10" t="s">
        <v>950</v>
      </c>
      <c r="I3" s="10" t="s">
        <v>76</v>
      </c>
      <c r="J3" s="10" t="s">
        <v>951</v>
      </c>
    </row>
    <row r="4" ht="15" customHeight="1" spans="1:10" x14ac:dyDescent="0.25">
      <c r="A4" s="10" t="s">
        <v>124</v>
      </c>
      <c r="B4" s="10" t="s">
        <v>125</v>
      </c>
      <c r="C4" s="10" t="s">
        <v>126</v>
      </c>
      <c r="D4" s="11" t="s">
        <v>127</v>
      </c>
      <c r="E4" s="10" t="s">
        <v>104</v>
      </c>
      <c r="F4" s="10" t="s">
        <v>128</v>
      </c>
      <c r="G4" s="10">
        <v>1</v>
      </c>
      <c r="H4" s="10" t="s">
        <v>952</v>
      </c>
      <c r="I4" s="10" t="s">
        <v>76</v>
      </c>
      <c r="J4" s="10" t="s">
        <v>953</v>
      </c>
    </row>
    <row r="5" ht="15" customHeight="1" spans="1:10" x14ac:dyDescent="0.25">
      <c r="A5" s="10" t="s">
        <v>135</v>
      </c>
      <c r="B5" s="10" t="s">
        <v>136</v>
      </c>
      <c r="C5" s="10" t="s">
        <v>137</v>
      </c>
      <c r="D5" s="11" t="s">
        <v>138</v>
      </c>
      <c r="E5" s="10" t="s">
        <v>104</v>
      </c>
      <c r="F5" s="10" t="s">
        <v>139</v>
      </c>
      <c r="G5" s="10">
        <v>1</v>
      </c>
      <c r="H5" s="10" t="s">
        <v>954</v>
      </c>
      <c r="I5" s="10" t="s">
        <v>76</v>
      </c>
      <c r="J5" s="10" t="s">
        <v>955</v>
      </c>
    </row>
    <row r="6" ht="15" customHeight="1" spans="1:10" x14ac:dyDescent="0.25">
      <c r="A6" s="10" t="s">
        <v>144</v>
      </c>
      <c r="B6" s="10" t="s">
        <v>145</v>
      </c>
      <c r="C6" s="10" t="s">
        <v>146</v>
      </c>
      <c r="D6" s="11" t="s">
        <v>147</v>
      </c>
      <c r="E6" s="10" t="s">
        <v>104</v>
      </c>
      <c r="F6" s="10" t="s">
        <v>148</v>
      </c>
      <c r="G6" s="10">
        <v>1</v>
      </c>
      <c r="H6" s="10" t="s">
        <v>956</v>
      </c>
      <c r="I6" s="10" t="s">
        <v>76</v>
      </c>
      <c r="J6" s="10" t="s">
        <v>957</v>
      </c>
    </row>
    <row r="7" ht="15" customHeight="1" spans="1:10" x14ac:dyDescent="0.25">
      <c r="A7" s="10" t="s">
        <v>152</v>
      </c>
      <c r="B7" s="10" t="s">
        <v>153</v>
      </c>
      <c r="C7" s="10" t="s">
        <v>154</v>
      </c>
      <c r="D7" s="11" t="s">
        <v>155</v>
      </c>
      <c r="E7" s="10" t="s">
        <v>104</v>
      </c>
      <c r="F7" s="10" t="s">
        <v>156</v>
      </c>
      <c r="G7" s="10">
        <v>1</v>
      </c>
      <c r="H7" s="10" t="s">
        <v>958</v>
      </c>
      <c r="I7" s="10" t="s">
        <v>76</v>
      </c>
      <c r="J7" s="10" t="s">
        <v>959</v>
      </c>
    </row>
    <row r="8" ht="15" customHeight="1" spans="1:10" x14ac:dyDescent="0.25">
      <c r="A8" s="10" t="s">
        <v>163</v>
      </c>
      <c r="B8" s="10" t="s">
        <v>164</v>
      </c>
      <c r="C8" s="10" t="s">
        <v>165</v>
      </c>
      <c r="D8" s="11" t="s">
        <v>166</v>
      </c>
      <c r="E8" s="10" t="s">
        <v>104</v>
      </c>
      <c r="F8" s="10" t="s">
        <v>167</v>
      </c>
      <c r="G8" s="10">
        <v>1</v>
      </c>
      <c r="H8" s="10" t="s">
        <v>960</v>
      </c>
      <c r="I8" s="10" t="s">
        <v>76</v>
      </c>
      <c r="J8" s="10" t="s">
        <v>961</v>
      </c>
    </row>
    <row r="9" ht="15" customHeight="1" spans="1:10" x14ac:dyDescent="0.25">
      <c r="A9" s="10" t="s">
        <v>171</v>
      </c>
      <c r="B9" s="10" t="s">
        <v>172</v>
      </c>
      <c r="C9" s="10" t="s">
        <v>173</v>
      </c>
      <c r="D9" s="11" t="s">
        <v>174</v>
      </c>
      <c r="E9" s="10" t="s">
        <v>104</v>
      </c>
      <c r="F9" s="10" t="s">
        <v>117</v>
      </c>
      <c r="G9" s="10">
        <v>1</v>
      </c>
      <c r="H9" s="10" t="s">
        <v>962</v>
      </c>
      <c r="I9" s="10" t="s">
        <v>76</v>
      </c>
      <c r="J9" s="10" t="s">
        <v>963</v>
      </c>
    </row>
    <row r="10" ht="23.85" customHeight="1" spans="1:10" x14ac:dyDescent="0.25">
      <c r="A10" s="10" t="s">
        <v>177</v>
      </c>
      <c r="B10" s="10" t="s">
        <v>178</v>
      </c>
      <c r="C10" s="10" t="s">
        <v>179</v>
      </c>
      <c r="D10" s="11" t="s">
        <v>180</v>
      </c>
      <c r="E10" s="10" t="s">
        <v>104</v>
      </c>
      <c r="F10" s="10" t="s">
        <v>181</v>
      </c>
      <c r="G10" s="10">
        <v>1</v>
      </c>
      <c r="H10" s="10" t="s">
        <v>964</v>
      </c>
      <c r="I10" s="10" t="s">
        <v>76</v>
      </c>
      <c r="J10" s="10" t="s">
        <v>965</v>
      </c>
    </row>
    <row r="11" ht="23.85" customHeight="1" spans="1:10" x14ac:dyDescent="0.25">
      <c r="A11" s="10" t="s">
        <v>187</v>
      </c>
      <c r="B11" s="10" t="s">
        <v>188</v>
      </c>
      <c r="C11" s="10" t="s">
        <v>189</v>
      </c>
      <c r="D11" s="11" t="s">
        <v>190</v>
      </c>
      <c r="E11" s="10" t="s">
        <v>104</v>
      </c>
      <c r="F11" s="10" t="s">
        <v>191</v>
      </c>
      <c r="G11" s="10">
        <v>1</v>
      </c>
      <c r="H11" s="10" t="s">
        <v>966</v>
      </c>
      <c r="I11" s="10" t="s">
        <v>76</v>
      </c>
      <c r="J11" s="10" t="s">
        <v>967</v>
      </c>
    </row>
    <row r="12" ht="23.85" customHeight="1" spans="1:10" x14ac:dyDescent="0.25">
      <c r="A12" s="10" t="s">
        <v>195</v>
      </c>
      <c r="B12" s="10" t="s">
        <v>196</v>
      </c>
      <c r="C12" s="10" t="s">
        <v>197</v>
      </c>
      <c r="D12" s="11" t="s">
        <v>198</v>
      </c>
      <c r="E12" s="10" t="s">
        <v>104</v>
      </c>
      <c r="F12" s="10" t="s">
        <v>117</v>
      </c>
      <c r="G12" s="10">
        <v>1</v>
      </c>
      <c r="H12" s="10" t="s">
        <v>968</v>
      </c>
      <c r="I12" s="10" t="s">
        <v>76</v>
      </c>
      <c r="J12" s="10" t="s">
        <v>969</v>
      </c>
    </row>
    <row r="13" ht="15" customHeight="1" spans="1:10" x14ac:dyDescent="0.25">
      <c r="A13" s="10" t="s">
        <v>200</v>
      </c>
      <c r="B13" s="10" t="s">
        <v>201</v>
      </c>
      <c r="C13" s="10" t="s">
        <v>202</v>
      </c>
      <c r="D13" s="11" t="s">
        <v>203</v>
      </c>
      <c r="E13" s="10" t="s">
        <v>104</v>
      </c>
      <c r="F13" s="10" t="s">
        <v>117</v>
      </c>
      <c r="G13" s="10">
        <v>1</v>
      </c>
      <c r="H13" s="10" t="s">
        <v>970</v>
      </c>
      <c r="I13" s="10" t="s">
        <v>76</v>
      </c>
      <c r="J13" s="10" t="s">
        <v>971</v>
      </c>
    </row>
    <row r="14" ht="15" customHeight="1" spans="1:10" x14ac:dyDescent="0.25">
      <c r="A14" s="10" t="s">
        <v>206</v>
      </c>
      <c r="B14" s="10" t="s">
        <v>207</v>
      </c>
      <c r="C14" s="10" t="s">
        <v>208</v>
      </c>
      <c r="D14" s="11" t="s">
        <v>209</v>
      </c>
      <c r="E14" s="10" t="s">
        <v>104</v>
      </c>
      <c r="F14" s="10" t="s">
        <v>117</v>
      </c>
      <c r="G14" s="10">
        <v>1</v>
      </c>
      <c r="H14" s="10" t="s">
        <v>972</v>
      </c>
      <c r="I14" s="10" t="s">
        <v>76</v>
      </c>
      <c r="J14" s="10" t="s">
        <v>973</v>
      </c>
    </row>
    <row r="15" ht="23.85" customHeight="1" spans="1:10" x14ac:dyDescent="0.25">
      <c r="A15" s="10" t="s">
        <v>210</v>
      </c>
      <c r="B15" s="10" t="s">
        <v>211</v>
      </c>
      <c r="C15" s="10" t="s">
        <v>212</v>
      </c>
      <c r="D15" s="11" t="s">
        <v>213</v>
      </c>
      <c r="E15" s="10" t="s">
        <v>104</v>
      </c>
      <c r="F15" s="10" t="s">
        <v>214</v>
      </c>
      <c r="G15" s="10">
        <v>1</v>
      </c>
      <c r="H15" s="10" t="s">
        <v>974</v>
      </c>
      <c r="I15" s="10" t="s">
        <v>76</v>
      </c>
      <c r="J15" s="10" t="s">
        <v>975</v>
      </c>
    </row>
    <row r="16" ht="15" customHeight="1" spans="1:10" x14ac:dyDescent="0.25">
      <c r="A16" s="10" t="s">
        <v>218</v>
      </c>
      <c r="B16" s="10" t="s">
        <v>219</v>
      </c>
      <c r="C16" s="10" t="s">
        <v>220</v>
      </c>
      <c r="D16" s="11" t="s">
        <v>221</v>
      </c>
      <c r="E16" s="10" t="s">
        <v>104</v>
      </c>
      <c r="F16" s="10" t="s">
        <v>214</v>
      </c>
      <c r="G16" s="10">
        <v>1</v>
      </c>
      <c r="H16" s="10" t="s">
        <v>976</v>
      </c>
      <c r="I16" s="10" t="s">
        <v>76</v>
      </c>
      <c r="J16" s="10" t="s">
        <v>977</v>
      </c>
    </row>
    <row r="17" ht="15" customHeight="1" spans="1:10" x14ac:dyDescent="0.25">
      <c r="A17" s="10" t="s">
        <v>222</v>
      </c>
      <c r="B17" s="10" t="s">
        <v>223</v>
      </c>
      <c r="C17" s="10" t="s">
        <v>224</v>
      </c>
      <c r="D17" s="11" t="s">
        <v>225</v>
      </c>
      <c r="E17" s="10" t="s">
        <v>104</v>
      </c>
      <c r="F17" s="10" t="s">
        <v>181</v>
      </c>
      <c r="G17" s="10">
        <v>1</v>
      </c>
      <c r="H17" s="10" t="s">
        <v>978</v>
      </c>
      <c r="I17" s="10" t="s">
        <v>76</v>
      </c>
      <c r="J17" s="10" t="s">
        <v>979</v>
      </c>
    </row>
    <row r="18" ht="23.85" customHeight="1" spans="1:10" x14ac:dyDescent="0.25">
      <c r="A18" s="10" t="s">
        <v>229</v>
      </c>
      <c r="B18" s="10" t="s">
        <v>230</v>
      </c>
      <c r="C18" s="10" t="s">
        <v>231</v>
      </c>
      <c r="D18" s="11" t="s">
        <v>232</v>
      </c>
      <c r="E18" s="10" t="s">
        <v>104</v>
      </c>
      <c r="F18" s="10" t="s">
        <v>181</v>
      </c>
      <c r="G18" s="10">
        <v>1</v>
      </c>
      <c r="H18" s="10" t="s">
        <v>980</v>
      </c>
      <c r="I18" s="10" t="s">
        <v>76</v>
      </c>
      <c r="J18" s="10" t="s">
        <v>981</v>
      </c>
    </row>
    <row r="19" ht="15" customHeight="1" spans="1:10" x14ac:dyDescent="0.25">
      <c r="A19" s="10" t="s">
        <v>235</v>
      </c>
      <c r="B19" s="10" t="s">
        <v>236</v>
      </c>
      <c r="C19" s="10" t="s">
        <v>237</v>
      </c>
      <c r="D19" s="11" t="s">
        <v>238</v>
      </c>
      <c r="E19" s="10" t="s">
        <v>104</v>
      </c>
      <c r="F19" s="10" t="s">
        <v>239</v>
      </c>
      <c r="G19" s="10">
        <v>1</v>
      </c>
      <c r="H19" s="10" t="s">
        <v>982</v>
      </c>
      <c r="I19" s="10" t="s">
        <v>76</v>
      </c>
      <c r="J19" s="10" t="s">
        <v>983</v>
      </c>
    </row>
    <row r="20" ht="15" customHeight="1" spans="1:10" x14ac:dyDescent="0.25">
      <c r="A20" s="10" t="s">
        <v>247</v>
      </c>
      <c r="B20" s="10" t="s">
        <v>248</v>
      </c>
      <c r="C20" s="10" t="s">
        <v>249</v>
      </c>
      <c r="D20" s="11" t="s">
        <v>250</v>
      </c>
      <c r="E20" s="10" t="s">
        <v>104</v>
      </c>
      <c r="F20" s="10" t="s">
        <v>167</v>
      </c>
      <c r="G20" s="10">
        <v>1</v>
      </c>
      <c r="H20" s="10" t="s">
        <v>984</v>
      </c>
      <c r="I20" s="10" t="s">
        <v>76</v>
      </c>
      <c r="J20" s="10" t="s">
        <v>985</v>
      </c>
    </row>
    <row r="21" ht="23.85" customHeight="1" spans="1:10" x14ac:dyDescent="0.25">
      <c r="A21" s="10" t="s">
        <v>253</v>
      </c>
      <c r="B21" s="10" t="s">
        <v>254</v>
      </c>
      <c r="C21" s="10" t="s">
        <v>255</v>
      </c>
      <c r="D21" s="11" t="s">
        <v>256</v>
      </c>
      <c r="E21" s="10" t="s">
        <v>104</v>
      </c>
      <c r="F21" s="10" t="s">
        <v>181</v>
      </c>
      <c r="G21" s="10">
        <v>1</v>
      </c>
      <c r="H21" s="10" t="s">
        <v>986</v>
      </c>
      <c r="I21" s="10" t="s">
        <v>76</v>
      </c>
      <c r="J21" s="10" t="s">
        <v>987</v>
      </c>
    </row>
    <row r="22" ht="23.85" customHeight="1" spans="1:10" x14ac:dyDescent="0.25">
      <c r="A22" s="10" t="s">
        <v>259</v>
      </c>
      <c r="B22" s="10" t="s">
        <v>260</v>
      </c>
      <c r="C22" s="10" t="s">
        <v>261</v>
      </c>
      <c r="D22" s="11" t="s">
        <v>262</v>
      </c>
      <c r="E22" s="10" t="s">
        <v>104</v>
      </c>
      <c r="F22" s="10" t="s">
        <v>181</v>
      </c>
      <c r="G22" s="10">
        <v>1</v>
      </c>
      <c r="H22" s="10" t="s">
        <v>988</v>
      </c>
      <c r="I22" s="10" t="s">
        <v>76</v>
      </c>
      <c r="J22" s="10" t="s">
        <v>989</v>
      </c>
    </row>
    <row r="23" ht="15" customHeight="1" spans="1:10" x14ac:dyDescent="0.25">
      <c r="A23" s="10" t="s">
        <v>264</v>
      </c>
      <c r="B23" s="10" t="s">
        <v>265</v>
      </c>
      <c r="C23" s="10" t="s">
        <v>266</v>
      </c>
      <c r="D23" s="11" t="s">
        <v>267</v>
      </c>
      <c r="E23" s="10" t="s">
        <v>104</v>
      </c>
      <c r="F23" s="10" t="s">
        <v>167</v>
      </c>
      <c r="G23" s="10">
        <v>1</v>
      </c>
      <c r="H23" s="10" t="s">
        <v>990</v>
      </c>
      <c r="I23" s="10" t="s">
        <v>76</v>
      </c>
      <c r="J23" s="10" t="s">
        <v>991</v>
      </c>
    </row>
    <row r="24" ht="15" customHeight="1" spans="1:10" x14ac:dyDescent="0.25">
      <c r="A24" s="10" t="s">
        <v>274</v>
      </c>
      <c r="B24" s="10" t="s">
        <v>275</v>
      </c>
      <c r="C24" s="10" t="s">
        <v>276</v>
      </c>
      <c r="D24" s="11" t="s">
        <v>277</v>
      </c>
      <c r="E24" s="10" t="s">
        <v>104</v>
      </c>
      <c r="F24" s="10" t="s">
        <v>278</v>
      </c>
      <c r="G24" s="10">
        <v>1</v>
      </c>
      <c r="H24" s="10" t="s">
        <v>992</v>
      </c>
      <c r="I24" s="10" t="s">
        <v>76</v>
      </c>
      <c r="J24" s="10" t="s">
        <v>993</v>
      </c>
    </row>
    <row r="25" ht="15" customHeight="1" spans="1:10" x14ac:dyDescent="0.25">
      <c r="A25" s="10" t="s">
        <v>281</v>
      </c>
      <c r="B25" s="10" t="s">
        <v>282</v>
      </c>
      <c r="C25" s="10" t="s">
        <v>283</v>
      </c>
      <c r="D25" s="11" t="s">
        <v>284</v>
      </c>
      <c r="E25" s="10" t="s">
        <v>104</v>
      </c>
      <c r="F25" s="10" t="s">
        <v>167</v>
      </c>
      <c r="G25" s="10">
        <v>1</v>
      </c>
      <c r="H25" s="10" t="s">
        <v>994</v>
      </c>
      <c r="I25" s="10" t="s">
        <v>76</v>
      </c>
      <c r="J25" s="10" t="s">
        <v>995</v>
      </c>
    </row>
    <row r="26" ht="15" customHeight="1" spans="1:10" x14ac:dyDescent="0.25">
      <c r="A26" s="10" t="s">
        <v>285</v>
      </c>
      <c r="B26" s="10" t="s">
        <v>286</v>
      </c>
      <c r="C26" s="10" t="s">
        <v>287</v>
      </c>
      <c r="D26" s="11" t="s">
        <v>288</v>
      </c>
      <c r="E26" s="10" t="s">
        <v>104</v>
      </c>
      <c r="F26" s="10" t="s">
        <v>105</v>
      </c>
      <c r="G26" s="10">
        <v>1</v>
      </c>
      <c r="H26" s="10" t="s">
        <v>996</v>
      </c>
      <c r="I26" s="10" t="s">
        <v>76</v>
      </c>
      <c r="J26" s="10" t="s">
        <v>997</v>
      </c>
    </row>
    <row r="27" ht="15" customHeight="1" spans="1:10" x14ac:dyDescent="0.25">
      <c r="A27" s="10" t="s">
        <v>289</v>
      </c>
      <c r="B27" s="10" t="s">
        <v>290</v>
      </c>
      <c r="C27" s="10" t="s">
        <v>291</v>
      </c>
      <c r="D27" s="11" t="s">
        <v>292</v>
      </c>
      <c r="E27" s="10" t="s">
        <v>104</v>
      </c>
      <c r="F27" s="10" t="s">
        <v>293</v>
      </c>
      <c r="G27" s="10">
        <v>1</v>
      </c>
      <c r="H27" s="10" t="s">
        <v>998</v>
      </c>
      <c r="I27" s="10" t="s">
        <v>76</v>
      </c>
      <c r="J27" s="10" t="s">
        <v>999</v>
      </c>
    </row>
    <row r="28" ht="15" customHeight="1" spans="1:10" x14ac:dyDescent="0.25">
      <c r="A28" s="10" t="s">
        <v>297</v>
      </c>
      <c r="B28" s="10" t="s">
        <v>298</v>
      </c>
      <c r="C28" s="10" t="s">
        <v>299</v>
      </c>
      <c r="D28" s="11" t="s">
        <v>300</v>
      </c>
      <c r="E28" s="10" t="s">
        <v>104</v>
      </c>
      <c r="F28" s="10" t="s">
        <v>139</v>
      </c>
      <c r="G28" s="10">
        <v>1</v>
      </c>
      <c r="H28" s="10" t="s">
        <v>1000</v>
      </c>
      <c r="I28" s="10" t="s">
        <v>76</v>
      </c>
      <c r="J28" s="10" t="s">
        <v>1001</v>
      </c>
    </row>
    <row r="29" ht="15" customHeight="1" spans="1:10" x14ac:dyDescent="0.25">
      <c r="A29" s="10" t="s">
        <v>301</v>
      </c>
      <c r="B29" s="10" t="s">
        <v>302</v>
      </c>
      <c r="C29" s="10" t="s">
        <v>303</v>
      </c>
      <c r="D29" s="11" t="s">
        <v>304</v>
      </c>
      <c r="E29" s="10" t="s">
        <v>104</v>
      </c>
      <c r="F29" s="10" t="s">
        <v>148</v>
      </c>
      <c r="G29" s="10">
        <v>1</v>
      </c>
      <c r="H29" s="10" t="s">
        <v>1002</v>
      </c>
      <c r="I29" s="10" t="s">
        <v>76</v>
      </c>
      <c r="J29" s="10" t="s">
        <v>1003</v>
      </c>
    </row>
    <row r="30" ht="15" customHeight="1" spans="1:10" x14ac:dyDescent="0.25">
      <c r="A30" s="10" t="s">
        <v>307</v>
      </c>
      <c r="B30" s="10" t="s">
        <v>308</v>
      </c>
      <c r="C30" s="10" t="s">
        <v>309</v>
      </c>
      <c r="D30" s="11" t="s">
        <v>310</v>
      </c>
      <c r="E30" s="10" t="s">
        <v>104</v>
      </c>
      <c r="F30" s="10" t="s">
        <v>139</v>
      </c>
      <c r="G30" s="10">
        <v>1</v>
      </c>
      <c r="H30" s="10" t="s">
        <v>1004</v>
      </c>
      <c r="I30" s="10" t="s">
        <v>76</v>
      </c>
      <c r="J30" s="10" t="s">
        <v>1005</v>
      </c>
    </row>
    <row r="31" ht="15" customHeight="1" spans="1:10" x14ac:dyDescent="0.25">
      <c r="A31" s="10" t="s">
        <v>311</v>
      </c>
      <c r="B31" s="10" t="s">
        <v>312</v>
      </c>
      <c r="C31" s="10" t="s">
        <v>313</v>
      </c>
      <c r="D31" s="11" t="s">
        <v>314</v>
      </c>
      <c r="E31" s="10" t="s">
        <v>104</v>
      </c>
      <c r="F31" s="10" t="s">
        <v>167</v>
      </c>
      <c r="G31" s="10">
        <v>1</v>
      </c>
      <c r="H31" s="10" t="s">
        <v>1006</v>
      </c>
      <c r="I31" s="10" t="s">
        <v>76</v>
      </c>
      <c r="J31" s="10" t="s">
        <v>1007</v>
      </c>
    </row>
    <row r="32" ht="15" customHeight="1" spans="1:10" x14ac:dyDescent="0.25">
      <c r="A32" s="10" t="s">
        <v>315</v>
      </c>
      <c r="B32" s="10" t="s">
        <v>316</v>
      </c>
      <c r="C32" s="10" t="s">
        <v>317</v>
      </c>
      <c r="D32" s="11" t="s">
        <v>318</v>
      </c>
      <c r="E32" s="10" t="s">
        <v>104</v>
      </c>
      <c r="F32" s="10" t="s">
        <v>181</v>
      </c>
      <c r="G32" s="10">
        <v>1</v>
      </c>
      <c r="H32" s="10" t="s">
        <v>1008</v>
      </c>
      <c r="I32" s="10" t="s">
        <v>76</v>
      </c>
      <c r="J32" s="10" t="s">
        <v>1009</v>
      </c>
    </row>
    <row r="33" ht="15" customHeight="1" spans="1:10" x14ac:dyDescent="0.25">
      <c r="A33" s="10" t="s">
        <v>319</v>
      </c>
      <c r="B33" s="10" t="s">
        <v>320</v>
      </c>
      <c r="C33" s="10" t="s">
        <v>321</v>
      </c>
      <c r="D33" s="11" t="s">
        <v>322</v>
      </c>
      <c r="E33" s="10" t="s">
        <v>104</v>
      </c>
      <c r="F33" s="10" t="s">
        <v>167</v>
      </c>
      <c r="G33" s="10">
        <v>1</v>
      </c>
      <c r="H33" s="10" t="s">
        <v>1010</v>
      </c>
      <c r="I33" s="10" t="s">
        <v>76</v>
      </c>
      <c r="J33" s="10" t="s">
        <v>1011</v>
      </c>
    </row>
    <row r="34" ht="15" customHeight="1" spans="1:10" x14ac:dyDescent="0.25">
      <c r="A34" s="10" t="s">
        <v>323</v>
      </c>
      <c r="B34" s="10" t="s">
        <v>324</v>
      </c>
      <c r="C34" s="10" t="s">
        <v>325</v>
      </c>
      <c r="D34" s="11" t="s">
        <v>326</v>
      </c>
      <c r="E34" s="10" t="s">
        <v>104</v>
      </c>
      <c r="F34" s="10" t="s">
        <v>148</v>
      </c>
      <c r="G34" s="10">
        <v>1</v>
      </c>
      <c r="H34" s="10" t="s">
        <v>1012</v>
      </c>
      <c r="I34" s="10" t="s">
        <v>76</v>
      </c>
      <c r="J34" s="10" t="s">
        <v>1013</v>
      </c>
    </row>
    <row r="35" ht="15" customHeight="1" spans="1:10" x14ac:dyDescent="0.25">
      <c r="A35" s="10" t="s">
        <v>329</v>
      </c>
      <c r="B35" s="10" t="s">
        <v>330</v>
      </c>
      <c r="C35" s="10" t="s">
        <v>331</v>
      </c>
      <c r="D35" s="11" t="s">
        <v>332</v>
      </c>
      <c r="E35" s="10" t="s">
        <v>104</v>
      </c>
      <c r="F35" s="10" t="s">
        <v>148</v>
      </c>
      <c r="G35" s="10">
        <v>1</v>
      </c>
      <c r="H35" s="10" t="s">
        <v>1014</v>
      </c>
      <c r="I35" s="10" t="s">
        <v>76</v>
      </c>
      <c r="J35" s="10" t="s">
        <v>1015</v>
      </c>
    </row>
    <row r="36" ht="15" customHeight="1" spans="1:10" x14ac:dyDescent="0.25">
      <c r="A36" s="10" t="s">
        <v>333</v>
      </c>
      <c r="B36" s="10" t="s">
        <v>334</v>
      </c>
      <c r="C36" s="10" t="s">
        <v>335</v>
      </c>
      <c r="D36" s="11" t="s">
        <v>336</v>
      </c>
      <c r="E36" s="10" t="s">
        <v>104</v>
      </c>
      <c r="F36" s="10" t="s">
        <v>214</v>
      </c>
      <c r="G36" s="10">
        <v>1</v>
      </c>
      <c r="H36" s="10" t="s">
        <v>1016</v>
      </c>
      <c r="I36" s="10" t="s">
        <v>76</v>
      </c>
      <c r="J36" s="10" t="s">
        <v>1017</v>
      </c>
    </row>
    <row r="37" ht="15" customHeight="1" spans="1:10" x14ac:dyDescent="0.25">
      <c r="A37" s="10" t="s">
        <v>339</v>
      </c>
      <c r="B37" s="10" t="s">
        <v>340</v>
      </c>
      <c r="C37" s="10" t="s">
        <v>341</v>
      </c>
      <c r="D37" s="11" t="s">
        <v>342</v>
      </c>
      <c r="E37" s="10" t="s">
        <v>104</v>
      </c>
      <c r="F37" s="10" t="s">
        <v>343</v>
      </c>
      <c r="G37" s="10">
        <v>1</v>
      </c>
      <c r="H37" s="10" t="s">
        <v>1018</v>
      </c>
      <c r="I37" s="10" t="s">
        <v>76</v>
      </c>
      <c r="J37" s="10" t="s">
        <v>1019</v>
      </c>
    </row>
    <row r="38" ht="15" customHeight="1" spans="1:10" x14ac:dyDescent="0.25">
      <c r="A38" s="10" t="s">
        <v>345</v>
      </c>
      <c r="B38" s="10" t="s">
        <v>346</v>
      </c>
      <c r="C38" s="10" t="s">
        <v>347</v>
      </c>
      <c r="D38" s="11" t="s">
        <v>348</v>
      </c>
      <c r="E38" s="10" t="s">
        <v>104</v>
      </c>
      <c r="F38" s="10" t="s">
        <v>139</v>
      </c>
      <c r="G38" s="10">
        <v>1</v>
      </c>
      <c r="H38" s="10" t="s">
        <v>1020</v>
      </c>
      <c r="I38" s="10" t="s">
        <v>76</v>
      </c>
      <c r="J38" s="10" t="s">
        <v>1021</v>
      </c>
    </row>
    <row r="39" ht="15" customHeight="1" spans="1:10" x14ac:dyDescent="0.25">
      <c r="A39" s="10" t="s">
        <v>350</v>
      </c>
      <c r="B39" s="10" t="s">
        <v>351</v>
      </c>
      <c r="C39" s="10" t="s">
        <v>352</v>
      </c>
      <c r="D39" s="11" t="s">
        <v>353</v>
      </c>
      <c r="E39" s="10" t="s">
        <v>104</v>
      </c>
      <c r="F39" s="10" t="s">
        <v>117</v>
      </c>
      <c r="G39" s="10">
        <v>1</v>
      </c>
      <c r="H39" s="10" t="s">
        <v>1022</v>
      </c>
      <c r="I39" s="10" t="s">
        <v>76</v>
      </c>
      <c r="J39" s="10" t="s">
        <v>1023</v>
      </c>
    </row>
    <row r="40" ht="15" customHeight="1" spans="1:10" x14ac:dyDescent="0.25">
      <c r="A40" s="10" t="s">
        <v>358</v>
      </c>
      <c r="B40" s="10" t="s">
        <v>359</v>
      </c>
      <c r="C40" s="10" t="s">
        <v>360</v>
      </c>
      <c r="D40" s="11" t="s">
        <v>361</v>
      </c>
      <c r="E40" s="10" t="s">
        <v>104</v>
      </c>
      <c r="F40" s="10" t="s">
        <v>139</v>
      </c>
      <c r="G40" s="10">
        <v>1</v>
      </c>
      <c r="H40" s="10" t="s">
        <v>1024</v>
      </c>
      <c r="I40" s="10" t="s">
        <v>76</v>
      </c>
      <c r="J40" s="10" t="s">
        <v>1025</v>
      </c>
    </row>
    <row r="41" ht="23.85" customHeight="1" spans="1:10" x14ac:dyDescent="0.25">
      <c r="A41" s="10" t="s">
        <v>362</v>
      </c>
      <c r="B41" s="10" t="s">
        <v>363</v>
      </c>
      <c r="C41" s="10" t="s">
        <v>364</v>
      </c>
      <c r="D41" s="11" t="s">
        <v>365</v>
      </c>
      <c r="E41" s="10" t="s">
        <v>104</v>
      </c>
      <c r="F41" s="10" t="s">
        <v>343</v>
      </c>
      <c r="G41" s="10">
        <v>1</v>
      </c>
      <c r="H41" s="10" t="s">
        <v>1026</v>
      </c>
      <c r="I41" s="10" t="s">
        <v>76</v>
      </c>
      <c r="J41" s="10" t="s">
        <v>1027</v>
      </c>
    </row>
    <row r="42" ht="15" customHeight="1" spans="1:10" x14ac:dyDescent="0.25">
      <c r="A42" s="10" t="s">
        <v>367</v>
      </c>
      <c r="B42" s="10" t="s">
        <v>368</v>
      </c>
      <c r="C42" s="10" t="s">
        <v>369</v>
      </c>
      <c r="D42" s="11" t="s">
        <v>370</v>
      </c>
      <c r="E42" s="10" t="s">
        <v>104</v>
      </c>
      <c r="F42" s="10" t="s">
        <v>343</v>
      </c>
      <c r="G42" s="10">
        <v>1</v>
      </c>
      <c r="H42" s="10" t="s">
        <v>1028</v>
      </c>
      <c r="I42" s="10" t="s">
        <v>76</v>
      </c>
      <c r="J42" s="10" t="s">
        <v>1029</v>
      </c>
    </row>
    <row r="43" ht="15" customHeight="1" spans="1:10" x14ac:dyDescent="0.25">
      <c r="A43" s="10" t="s">
        <v>371</v>
      </c>
      <c r="B43" s="10" t="s">
        <v>372</v>
      </c>
      <c r="C43" s="10" t="s">
        <v>373</v>
      </c>
      <c r="D43" s="11" t="s">
        <v>374</v>
      </c>
      <c r="E43" s="10" t="s">
        <v>104</v>
      </c>
      <c r="F43" s="10" t="s">
        <v>167</v>
      </c>
      <c r="G43" s="10">
        <v>1</v>
      </c>
      <c r="H43" s="10" t="s">
        <v>1030</v>
      </c>
      <c r="I43" s="10" t="s">
        <v>76</v>
      </c>
      <c r="J43" s="10" t="s">
        <v>1031</v>
      </c>
    </row>
    <row r="44" ht="15" customHeight="1" spans="1:10" x14ac:dyDescent="0.25">
      <c r="A44" s="10" t="s">
        <v>375</v>
      </c>
      <c r="B44" s="10" t="s">
        <v>376</v>
      </c>
      <c r="C44" s="10" t="s">
        <v>377</v>
      </c>
      <c r="D44" s="11" t="s">
        <v>378</v>
      </c>
      <c r="E44" s="10" t="s">
        <v>104</v>
      </c>
      <c r="F44" s="10" t="s">
        <v>379</v>
      </c>
      <c r="G44" s="10">
        <v>1</v>
      </c>
      <c r="H44" s="10" t="s">
        <v>1032</v>
      </c>
      <c r="I44" s="10" t="s">
        <v>76</v>
      </c>
      <c r="J44" s="10" t="s">
        <v>1033</v>
      </c>
    </row>
    <row r="45" ht="15" customHeight="1" spans="1:10" x14ac:dyDescent="0.25">
      <c r="A45" s="10" t="s">
        <v>384</v>
      </c>
      <c r="B45" s="10" t="s">
        <v>385</v>
      </c>
      <c r="C45" s="10" t="s">
        <v>386</v>
      </c>
      <c r="D45" s="11" t="s">
        <v>387</v>
      </c>
      <c r="E45" s="10" t="s">
        <v>104</v>
      </c>
      <c r="F45" s="10" t="s">
        <v>139</v>
      </c>
      <c r="G45" s="10">
        <v>1</v>
      </c>
      <c r="H45" s="10" t="s">
        <v>1034</v>
      </c>
      <c r="I45" s="10" t="s">
        <v>76</v>
      </c>
      <c r="J45" s="10" t="s">
        <v>1035</v>
      </c>
    </row>
    <row r="46" ht="15" customHeight="1" spans="1:10" x14ac:dyDescent="0.25">
      <c r="A46" s="10" t="s">
        <v>390</v>
      </c>
      <c r="B46" s="10" t="s">
        <v>391</v>
      </c>
      <c r="C46" s="10" t="s">
        <v>392</v>
      </c>
      <c r="D46" s="11" t="s">
        <v>393</v>
      </c>
      <c r="E46" s="10" t="s">
        <v>104</v>
      </c>
      <c r="F46" s="10" t="s">
        <v>139</v>
      </c>
      <c r="G46" s="10">
        <v>1</v>
      </c>
      <c r="H46" s="10" t="s">
        <v>1036</v>
      </c>
      <c r="I46" s="10" t="s">
        <v>76</v>
      </c>
      <c r="J46" s="10" t="s">
        <v>1037</v>
      </c>
    </row>
    <row r="47" ht="15" customHeight="1" spans="1:10" x14ac:dyDescent="0.25">
      <c r="A47" s="10" t="s">
        <v>395</v>
      </c>
      <c r="B47" s="10" t="s">
        <v>396</v>
      </c>
      <c r="C47" s="10" t="s">
        <v>397</v>
      </c>
      <c r="D47" s="11" t="s">
        <v>398</v>
      </c>
      <c r="E47" s="10" t="s">
        <v>104</v>
      </c>
      <c r="F47" s="10" t="s">
        <v>214</v>
      </c>
      <c r="G47" s="10">
        <v>1</v>
      </c>
      <c r="H47" s="10" t="s">
        <v>1038</v>
      </c>
      <c r="I47" s="10" t="s">
        <v>76</v>
      </c>
      <c r="J47" s="10" t="s">
        <v>1039</v>
      </c>
    </row>
    <row r="48" ht="15" customHeight="1" spans="1:10" x14ac:dyDescent="0.25">
      <c r="A48" s="10" t="s">
        <v>400</v>
      </c>
      <c r="B48" s="10" t="s">
        <v>401</v>
      </c>
      <c r="C48" s="10" t="s">
        <v>402</v>
      </c>
      <c r="D48" s="11" t="s">
        <v>403</v>
      </c>
      <c r="E48" s="10" t="s">
        <v>104</v>
      </c>
      <c r="F48" s="10" t="s">
        <v>139</v>
      </c>
      <c r="G48" s="10">
        <v>1</v>
      </c>
      <c r="H48" s="10" t="s">
        <v>1040</v>
      </c>
      <c r="I48" s="10" t="s">
        <v>76</v>
      </c>
      <c r="J48" s="10" t="s">
        <v>1041</v>
      </c>
    </row>
    <row r="49" ht="15" customHeight="1" spans="1:10" x14ac:dyDescent="0.25">
      <c r="A49" s="10" t="s">
        <v>404</v>
      </c>
      <c r="B49" s="10" t="s">
        <v>405</v>
      </c>
      <c r="C49" s="10" t="s">
        <v>406</v>
      </c>
      <c r="D49" s="11" t="s">
        <v>407</v>
      </c>
      <c r="E49" s="10" t="s">
        <v>104</v>
      </c>
      <c r="F49" s="10" t="s">
        <v>139</v>
      </c>
      <c r="G49" s="10">
        <v>1</v>
      </c>
      <c r="H49" s="10" t="s">
        <v>1042</v>
      </c>
      <c r="I49" s="10" t="s">
        <v>76</v>
      </c>
      <c r="J49" s="10" t="s">
        <v>1043</v>
      </c>
    </row>
    <row r="50" ht="15" customHeight="1" spans="1:10" x14ac:dyDescent="0.25">
      <c r="A50" s="10" t="s">
        <v>409</v>
      </c>
      <c r="B50" s="10" t="s">
        <v>410</v>
      </c>
      <c r="C50" s="10" t="s">
        <v>411</v>
      </c>
      <c r="D50" s="11" t="s">
        <v>412</v>
      </c>
      <c r="E50" s="10" t="s">
        <v>104</v>
      </c>
      <c r="F50" s="10" t="s">
        <v>139</v>
      </c>
      <c r="G50" s="10">
        <v>1</v>
      </c>
      <c r="H50" s="10" t="s">
        <v>1044</v>
      </c>
      <c r="I50" s="10" t="s">
        <v>76</v>
      </c>
      <c r="J50" s="10" t="s">
        <v>1045</v>
      </c>
    </row>
    <row r="51" ht="15" customHeight="1" spans="1:10" x14ac:dyDescent="0.25">
      <c r="A51" s="10" t="s">
        <v>414</v>
      </c>
      <c r="B51" s="10" t="s">
        <v>415</v>
      </c>
      <c r="C51" s="10" t="s">
        <v>416</v>
      </c>
      <c r="D51" s="11" t="s">
        <v>417</v>
      </c>
      <c r="E51" s="10" t="s">
        <v>104</v>
      </c>
      <c r="F51" s="10" t="s">
        <v>117</v>
      </c>
      <c r="G51" s="10">
        <v>1</v>
      </c>
      <c r="H51" s="10" t="s">
        <v>1046</v>
      </c>
      <c r="I51" s="10" t="s">
        <v>76</v>
      </c>
      <c r="J51" s="10" t="s">
        <v>1047</v>
      </c>
    </row>
    <row r="52" ht="15" customHeight="1" spans="1:10" x14ac:dyDescent="0.25">
      <c r="A52" s="10" t="s">
        <v>420</v>
      </c>
      <c r="B52" s="10" t="s">
        <v>421</v>
      </c>
      <c r="C52" s="10" t="s">
        <v>422</v>
      </c>
      <c r="D52" s="11" t="s">
        <v>423</v>
      </c>
      <c r="E52" s="10" t="s">
        <v>104</v>
      </c>
      <c r="F52" s="10" t="s">
        <v>191</v>
      </c>
      <c r="G52" s="10">
        <v>1</v>
      </c>
      <c r="H52" s="10" t="s">
        <v>1048</v>
      </c>
      <c r="I52" s="10" t="s">
        <v>76</v>
      </c>
      <c r="J52" s="10" t="s">
        <v>1049</v>
      </c>
    </row>
    <row r="53" ht="15" customHeight="1" spans="1:10" x14ac:dyDescent="0.25">
      <c r="A53" s="10" t="s">
        <v>425</v>
      </c>
      <c r="B53" s="10" t="s">
        <v>426</v>
      </c>
      <c r="C53" s="10" t="s">
        <v>427</v>
      </c>
      <c r="D53" s="11" t="s">
        <v>428</v>
      </c>
      <c r="E53" s="10" t="s">
        <v>104</v>
      </c>
      <c r="F53" s="10" t="s">
        <v>128</v>
      </c>
      <c r="G53" s="10">
        <v>1</v>
      </c>
      <c r="H53" s="10" t="s">
        <v>1050</v>
      </c>
      <c r="I53" s="10" t="s">
        <v>76</v>
      </c>
      <c r="J53" s="10" t="s">
        <v>1051</v>
      </c>
    </row>
    <row r="54" ht="15" customHeight="1" spans="1:10" x14ac:dyDescent="0.25">
      <c r="A54" s="10" t="s">
        <v>430</v>
      </c>
      <c r="B54" s="10" t="s">
        <v>431</v>
      </c>
      <c r="C54" s="10" t="s">
        <v>432</v>
      </c>
      <c r="D54" s="11" t="s">
        <v>433</v>
      </c>
      <c r="E54" s="10" t="s">
        <v>104</v>
      </c>
      <c r="F54" s="10" t="s">
        <v>139</v>
      </c>
      <c r="G54" s="10">
        <v>1</v>
      </c>
      <c r="H54" s="10" t="s">
        <v>1052</v>
      </c>
      <c r="I54" s="10" t="s">
        <v>76</v>
      </c>
      <c r="J54" s="10" t="s">
        <v>1053</v>
      </c>
    </row>
    <row r="55" ht="15" customHeight="1" spans="1:10" x14ac:dyDescent="0.25">
      <c r="A55" s="10" t="s">
        <v>434</v>
      </c>
      <c r="B55" s="10" t="s">
        <v>435</v>
      </c>
      <c r="C55" s="10" t="s">
        <v>436</v>
      </c>
      <c r="D55" s="11" t="s">
        <v>437</v>
      </c>
      <c r="E55" s="10" t="s">
        <v>104</v>
      </c>
      <c r="F55" s="10" t="s">
        <v>438</v>
      </c>
      <c r="G55" s="10">
        <v>1</v>
      </c>
      <c r="H55" s="10" t="s">
        <v>1054</v>
      </c>
      <c r="I55" s="10" t="s">
        <v>76</v>
      </c>
      <c r="J55" s="10" t="s">
        <v>1055</v>
      </c>
    </row>
    <row r="56" ht="15" customHeight="1" spans="1:10" x14ac:dyDescent="0.25">
      <c r="A56" s="10" t="s">
        <v>444</v>
      </c>
      <c r="B56" s="10" t="s">
        <v>445</v>
      </c>
      <c r="C56" s="10" t="s">
        <v>446</v>
      </c>
      <c r="D56" s="11" t="s">
        <v>447</v>
      </c>
      <c r="E56" s="10" t="s">
        <v>104</v>
      </c>
      <c r="F56" s="10" t="s">
        <v>278</v>
      </c>
      <c r="G56" s="10">
        <v>1</v>
      </c>
      <c r="H56" s="10" t="s">
        <v>1056</v>
      </c>
      <c r="I56" s="10" t="s">
        <v>76</v>
      </c>
      <c r="J56" s="10" t="s">
        <v>1057</v>
      </c>
    </row>
    <row r="57" ht="15" customHeight="1" spans="1:10" x14ac:dyDescent="0.25">
      <c r="A57" s="10" t="s">
        <v>448</v>
      </c>
      <c r="B57" s="10" t="s">
        <v>449</v>
      </c>
      <c r="C57" s="10" t="s">
        <v>450</v>
      </c>
      <c r="D57" s="11" t="s">
        <v>451</v>
      </c>
      <c r="E57" s="10" t="s">
        <v>104</v>
      </c>
      <c r="F57" s="10" t="s">
        <v>452</v>
      </c>
      <c r="G57" s="10">
        <v>1</v>
      </c>
      <c r="H57" s="10" t="s">
        <v>1058</v>
      </c>
      <c r="I57" s="10" t="s">
        <v>76</v>
      </c>
      <c r="J57" s="10" t="s">
        <v>1059</v>
      </c>
    </row>
    <row r="58" ht="15" customHeight="1" spans="1:10" x14ac:dyDescent="0.25">
      <c r="A58" s="10" t="s">
        <v>455</v>
      </c>
      <c r="B58" s="10" t="s">
        <v>456</v>
      </c>
      <c r="C58" s="10" t="s">
        <v>457</v>
      </c>
      <c r="D58" s="11" t="s">
        <v>458</v>
      </c>
      <c r="E58" s="10" t="s">
        <v>104</v>
      </c>
      <c r="F58" s="10" t="s">
        <v>459</v>
      </c>
      <c r="G58" s="10">
        <v>1</v>
      </c>
      <c r="H58" s="10" t="s">
        <v>1060</v>
      </c>
      <c r="I58" s="10" t="s">
        <v>76</v>
      </c>
      <c r="J58" s="10" t="s">
        <v>1061</v>
      </c>
    </row>
    <row r="59" ht="15" customHeight="1" spans="1:10" x14ac:dyDescent="0.25">
      <c r="A59" s="10" t="s">
        <v>464</v>
      </c>
      <c r="B59" s="10" t="s">
        <v>465</v>
      </c>
      <c r="C59" s="10" t="s">
        <v>466</v>
      </c>
      <c r="D59" s="11" t="s">
        <v>467</v>
      </c>
      <c r="E59" s="10" t="s">
        <v>104</v>
      </c>
      <c r="F59" s="10" t="s">
        <v>459</v>
      </c>
      <c r="G59" s="10">
        <v>1</v>
      </c>
      <c r="H59" s="10" t="s">
        <v>1062</v>
      </c>
      <c r="I59" s="10" t="s">
        <v>76</v>
      </c>
      <c r="J59" s="10" t="s">
        <v>1063</v>
      </c>
    </row>
    <row r="60" ht="23.85" customHeight="1" spans="1:10" x14ac:dyDescent="0.25">
      <c r="A60" s="10" t="s">
        <v>468</v>
      </c>
      <c r="B60" s="10" t="s">
        <v>469</v>
      </c>
      <c r="C60" s="10" t="s">
        <v>470</v>
      </c>
      <c r="D60" s="11" t="s">
        <v>471</v>
      </c>
      <c r="E60" s="10" t="s">
        <v>104</v>
      </c>
      <c r="F60" s="10" t="s">
        <v>472</v>
      </c>
      <c r="G60" s="10">
        <v>1</v>
      </c>
      <c r="H60" s="10" t="s">
        <v>1064</v>
      </c>
      <c r="I60" s="10" t="s">
        <v>76</v>
      </c>
      <c r="J60" s="10" t="s">
        <v>1065</v>
      </c>
    </row>
    <row r="61" ht="23.85" customHeight="1" spans="1:10" x14ac:dyDescent="0.25">
      <c r="A61" s="10" t="s">
        <v>475</v>
      </c>
      <c r="B61" s="10" t="s">
        <v>476</v>
      </c>
      <c r="C61" s="10" t="s">
        <v>477</v>
      </c>
      <c r="D61" s="11" t="s">
        <v>478</v>
      </c>
      <c r="E61" s="10" t="s">
        <v>104</v>
      </c>
      <c r="F61" s="10" t="s">
        <v>479</v>
      </c>
      <c r="G61" s="10">
        <v>1</v>
      </c>
      <c r="H61" s="10" t="s">
        <v>1066</v>
      </c>
      <c r="I61" s="10" t="s">
        <v>76</v>
      </c>
      <c r="J61" s="10" t="s">
        <v>1067</v>
      </c>
    </row>
    <row r="62" ht="23.85" customHeight="1" spans="1:10" x14ac:dyDescent="0.25">
      <c r="A62" s="10" t="s">
        <v>480</v>
      </c>
      <c r="B62" s="10" t="s">
        <v>481</v>
      </c>
      <c r="C62" s="10" t="s">
        <v>482</v>
      </c>
      <c r="D62" s="11" t="s">
        <v>483</v>
      </c>
      <c r="E62" s="10" t="s">
        <v>104</v>
      </c>
      <c r="F62" s="10" t="s">
        <v>438</v>
      </c>
      <c r="G62" s="10">
        <v>1</v>
      </c>
      <c r="H62" s="10" t="s">
        <v>1068</v>
      </c>
      <c r="I62" s="10" t="s">
        <v>76</v>
      </c>
      <c r="J62" s="10" t="s">
        <v>1069</v>
      </c>
    </row>
    <row r="63" ht="15" customHeight="1" spans="1:10" x14ac:dyDescent="0.25">
      <c r="A63" s="10" t="s">
        <v>484</v>
      </c>
      <c r="B63" s="10" t="s">
        <v>485</v>
      </c>
      <c r="C63" s="10" t="s">
        <v>486</v>
      </c>
      <c r="D63" s="11" t="s">
        <v>487</v>
      </c>
      <c r="E63" s="10" t="s">
        <v>104</v>
      </c>
      <c r="F63" s="10" t="s">
        <v>239</v>
      </c>
      <c r="G63" s="10">
        <v>1</v>
      </c>
      <c r="H63" s="10" t="s">
        <v>1070</v>
      </c>
      <c r="I63" s="10" t="s">
        <v>76</v>
      </c>
      <c r="J63" s="10" t="s">
        <v>1071</v>
      </c>
    </row>
    <row r="64" ht="15" customHeight="1" spans="1:10" x14ac:dyDescent="0.25">
      <c r="A64" s="10" t="s">
        <v>491</v>
      </c>
      <c r="B64" s="10" t="s">
        <v>492</v>
      </c>
      <c r="C64" s="10" t="s">
        <v>493</v>
      </c>
      <c r="D64" s="11" t="s">
        <v>494</v>
      </c>
      <c r="E64" s="10" t="s">
        <v>104</v>
      </c>
      <c r="F64" s="10" t="s">
        <v>239</v>
      </c>
      <c r="G64" s="10">
        <v>1</v>
      </c>
      <c r="H64" s="10" t="s">
        <v>1072</v>
      </c>
      <c r="I64" s="10" t="s">
        <v>76</v>
      </c>
      <c r="J64" s="10" t="s">
        <v>1073</v>
      </c>
    </row>
    <row r="65" ht="15" customHeight="1" spans="1:10" x14ac:dyDescent="0.25">
      <c r="A65" s="10" t="s">
        <v>495</v>
      </c>
      <c r="B65" s="10" t="s">
        <v>496</v>
      </c>
      <c r="C65" s="10" t="s">
        <v>497</v>
      </c>
      <c r="D65" s="11" t="s">
        <v>498</v>
      </c>
      <c r="E65" s="10" t="s">
        <v>104</v>
      </c>
      <c r="F65" s="10" t="s">
        <v>239</v>
      </c>
      <c r="G65" s="10">
        <v>1</v>
      </c>
      <c r="H65" s="10" t="s">
        <v>1074</v>
      </c>
      <c r="I65" s="10" t="s">
        <v>76</v>
      </c>
      <c r="J65" s="10" t="s">
        <v>1075</v>
      </c>
    </row>
    <row r="66" ht="23.85" customHeight="1" spans="1:10" x14ac:dyDescent="0.25">
      <c r="A66" s="10" t="s">
        <v>499</v>
      </c>
      <c r="B66" s="10" t="s">
        <v>500</v>
      </c>
      <c r="C66" s="10" t="s">
        <v>501</v>
      </c>
      <c r="D66" s="11" t="s">
        <v>502</v>
      </c>
      <c r="E66" s="10" t="s">
        <v>104</v>
      </c>
      <c r="F66" s="10" t="s">
        <v>117</v>
      </c>
      <c r="G66" s="10">
        <v>1</v>
      </c>
      <c r="H66" s="10" t="s">
        <v>1076</v>
      </c>
      <c r="I66" s="10" t="s">
        <v>76</v>
      </c>
      <c r="J66" s="10" t="s">
        <v>1077</v>
      </c>
    </row>
    <row r="67" ht="15" customHeight="1" spans="1:10" x14ac:dyDescent="0.25">
      <c r="A67" s="10" t="s">
        <v>505</v>
      </c>
      <c r="B67" s="10" t="s">
        <v>506</v>
      </c>
      <c r="C67" s="10" t="s">
        <v>507</v>
      </c>
      <c r="D67" s="11" t="s">
        <v>508</v>
      </c>
      <c r="E67" s="10" t="s">
        <v>104</v>
      </c>
      <c r="F67" s="10" t="s">
        <v>509</v>
      </c>
      <c r="G67" s="10">
        <v>1</v>
      </c>
      <c r="H67" s="10" t="s">
        <v>1078</v>
      </c>
      <c r="I67" s="10" t="s">
        <v>76</v>
      </c>
      <c r="J67" s="10" t="s">
        <v>1079</v>
      </c>
    </row>
    <row r="68" ht="15" customHeight="1" spans="1:10" x14ac:dyDescent="0.25">
      <c r="A68" s="10" t="s">
        <v>512</v>
      </c>
      <c r="B68" s="10" t="s">
        <v>513</v>
      </c>
      <c r="C68" s="10" t="s">
        <v>514</v>
      </c>
      <c r="D68" s="11" t="s">
        <v>515</v>
      </c>
      <c r="E68" s="10" t="s">
        <v>104</v>
      </c>
      <c r="F68" s="10" t="s">
        <v>167</v>
      </c>
      <c r="G68" s="10">
        <v>1</v>
      </c>
      <c r="H68" s="10" t="s">
        <v>1080</v>
      </c>
      <c r="I68" s="10" t="s">
        <v>76</v>
      </c>
      <c r="J68" s="10" t="s">
        <v>1081</v>
      </c>
    </row>
    <row r="69" ht="15" customHeight="1" spans="1:10" x14ac:dyDescent="0.25">
      <c r="A69" s="10"/>
      <c r="B69" s="10"/>
      <c r="C69" s="10"/>
      <c r="D69" s="11"/>
      <c r="E69" s="10"/>
      <c r="F69" s="10"/>
      <c r="G69" s="10"/>
      <c r="H69" s="10"/>
      <c r="I69" s="10" t="s">
        <v>76</v>
      </c>
      <c r="J69" s="10" t="s">
        <v>1082</v>
      </c>
    </row>
    <row r="70" ht="15" customHeight="1" spans="1:10" x14ac:dyDescent="0.25">
      <c r="A70" s="10" t="s">
        <v>1083</v>
      </c>
      <c r="B70" s="10"/>
      <c r="C70" s="10"/>
      <c r="D70" s="11"/>
      <c r="E70" s="10"/>
      <c r="F70" s="10"/>
      <c r="G70" s="10"/>
      <c r="H70" s="10"/>
      <c r="I70" s="10" t="s">
        <v>76</v>
      </c>
      <c r="J70" s="10" t="s">
        <v>1082</v>
      </c>
    </row>
    <row r="72" ht="15" customHeight="1" spans="1:4" x14ac:dyDescent="0.25">
      <c r="A72" s="16" t="s">
        <v>1084</v>
      </c>
    </row>
  </sheetData>
  <autoFilter ref="A1:J70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1" customWidth="1"/>
    <col min="2" max="2" width="15" customWidth="1"/>
    <col min="3" max="3" width="13" customWidth="1"/>
    <col min="4" max="4" width="72" customWidth="1"/>
    <col min="5" max="5" width="64" customWidth="1"/>
    <col min="6" max="7" width="24" customWidth="1"/>
  </cols>
  <sheetData>
    <row r="1" ht="30" customHeight="1" spans="1:7" x14ac:dyDescent="0.25">
      <c r="A1" s="9" t="s">
        <v>1085</v>
      </c>
      <c r="B1" s="9" t="s">
        <v>1086</v>
      </c>
      <c r="C1" s="9" t="s">
        <v>1087</v>
      </c>
      <c r="D1" s="9" t="s">
        <v>1088</v>
      </c>
      <c r="E1" s="9" t="s">
        <v>1089</v>
      </c>
      <c r="F1" s="9" t="s">
        <v>1090</v>
      </c>
      <c r="G1" s="9" t="s">
        <v>1091</v>
      </c>
    </row>
    <row r="2" ht="23.85" customHeight="1" spans="1:7" x14ac:dyDescent="0.25">
      <c r="A2" s="10" t="s">
        <v>1092</v>
      </c>
      <c r="B2" s="10" t="s">
        <v>1093</v>
      </c>
      <c r="C2" s="17" t="s">
        <v>70</v>
      </c>
      <c r="D2" s="11" t="s">
        <v>1094</v>
      </c>
      <c r="E2" s="11" t="s">
        <v>1095</v>
      </c>
      <c r="F2" s="10" t="s">
        <v>1096</v>
      </c>
      <c r="G2" s="10" t="s">
        <v>72</v>
      </c>
    </row>
    <row r="3" ht="23.85" customHeight="1" spans="1:7" x14ac:dyDescent="0.25">
      <c r="A3" s="10" t="s">
        <v>1097</v>
      </c>
      <c r="B3" s="10" t="s">
        <v>1093</v>
      </c>
      <c r="C3" s="17" t="s">
        <v>70</v>
      </c>
      <c r="D3" s="11" t="s">
        <v>1098</v>
      </c>
      <c r="E3" s="11" t="s">
        <v>1099</v>
      </c>
      <c r="F3" s="10" t="s">
        <v>1096</v>
      </c>
      <c r="G3" s="10" t="s">
        <v>72</v>
      </c>
    </row>
    <row r="4" ht="23.85" customHeight="1" spans="1:7" x14ac:dyDescent="0.25">
      <c r="A4" s="10" t="s">
        <v>1100</v>
      </c>
      <c r="B4" s="10" t="s">
        <v>1093</v>
      </c>
      <c r="C4" s="17" t="s">
        <v>70</v>
      </c>
      <c r="D4" s="11" t="s">
        <v>1101</v>
      </c>
      <c r="E4" s="11" t="s">
        <v>1099</v>
      </c>
      <c r="F4" s="10" t="s">
        <v>1096</v>
      </c>
      <c r="G4" s="10" t="s">
        <v>72</v>
      </c>
    </row>
    <row r="5" ht="23.85" customHeight="1" spans="1:7" x14ac:dyDescent="0.25">
      <c r="A5" s="10" t="s">
        <v>1102</v>
      </c>
      <c r="B5" s="10" t="s">
        <v>1103</v>
      </c>
      <c r="C5" s="18" t="s">
        <v>1104</v>
      </c>
      <c r="D5" s="11" t="s">
        <v>1105</v>
      </c>
      <c r="E5" s="11" t="s">
        <v>1106</v>
      </c>
      <c r="F5" s="10" t="s">
        <v>1107</v>
      </c>
      <c r="G5" s="10" t="s">
        <v>1108</v>
      </c>
    </row>
    <row r="6" ht="15" customHeight="1" spans="1:7" x14ac:dyDescent="0.25">
      <c r="A6" s="10" t="s">
        <v>1109</v>
      </c>
      <c r="B6" s="10" t="s">
        <v>1103</v>
      </c>
      <c r="C6" s="18" t="s">
        <v>1110</v>
      </c>
      <c r="D6" s="11" t="s">
        <v>1111</v>
      </c>
      <c r="E6" s="11" t="s">
        <v>1112</v>
      </c>
      <c r="F6" s="10" t="s">
        <v>1107</v>
      </c>
      <c r="G6" s="10" t="s">
        <v>1108</v>
      </c>
    </row>
    <row r="7" ht="23.85" customHeight="1" spans="1:7" x14ac:dyDescent="0.25">
      <c r="A7" s="10" t="s">
        <v>1113</v>
      </c>
      <c r="B7" s="10" t="s">
        <v>1093</v>
      </c>
      <c r="C7" s="18" t="s">
        <v>1104</v>
      </c>
      <c r="D7" s="11" t="s">
        <v>1114</v>
      </c>
      <c r="E7" s="11" t="s">
        <v>1115</v>
      </c>
      <c r="F7" s="10" t="s">
        <v>1107</v>
      </c>
      <c r="G7" s="10" t="s">
        <v>1108</v>
      </c>
    </row>
    <row r="8" ht="23.85" customHeight="1" spans="1:7" x14ac:dyDescent="0.25">
      <c r="A8" s="10" t="s">
        <v>1116</v>
      </c>
      <c r="B8" s="10" t="s">
        <v>1117</v>
      </c>
      <c r="C8" s="18" t="s">
        <v>1104</v>
      </c>
      <c r="D8" s="11" t="s">
        <v>1118</v>
      </c>
      <c r="E8" s="11" t="s">
        <v>1119</v>
      </c>
      <c r="F8" s="10" t="s">
        <v>1120</v>
      </c>
      <c r="G8" s="10" t="s">
        <v>1121</v>
      </c>
    </row>
    <row r="9" ht="23.85" customHeight="1" spans="1:7" x14ac:dyDescent="0.25">
      <c r="A9" s="10" t="s">
        <v>1122</v>
      </c>
      <c r="B9" s="10" t="s">
        <v>1117</v>
      </c>
      <c r="C9" s="18" t="s">
        <v>1110</v>
      </c>
      <c r="D9" s="11" t="s">
        <v>1123</v>
      </c>
      <c r="E9" s="11" t="s">
        <v>1124</v>
      </c>
      <c r="F9" s="10" t="s">
        <v>1125</v>
      </c>
      <c r="G9" s="10" t="s">
        <v>72</v>
      </c>
    </row>
    <row r="10" ht="15" customHeight="1" spans="1:7" x14ac:dyDescent="0.25">
      <c r="A10" s="10" t="s">
        <v>1126</v>
      </c>
      <c r="B10" s="10" t="s">
        <v>1117</v>
      </c>
      <c r="C10" s="19" t="s">
        <v>1127</v>
      </c>
      <c r="D10" s="11" t="s">
        <v>1128</v>
      </c>
      <c r="E10" s="11" t="s">
        <v>1129</v>
      </c>
      <c r="F10" s="10" t="s">
        <v>1107</v>
      </c>
      <c r="G10" s="10" t="s">
        <v>1121</v>
      </c>
    </row>
    <row r="11" ht="23.85" customHeight="1" spans="1:7" x14ac:dyDescent="0.25">
      <c r="A11" s="10" t="s">
        <v>1130</v>
      </c>
      <c r="B11" s="10" t="s">
        <v>1131</v>
      </c>
      <c r="C11" s="18" t="s">
        <v>1110</v>
      </c>
      <c r="D11" s="11" t="s">
        <v>1132</v>
      </c>
      <c r="E11" s="11" t="s">
        <v>1133</v>
      </c>
      <c r="F11" s="10" t="s">
        <v>1107</v>
      </c>
      <c r="G11" s="10" t="s">
        <v>72</v>
      </c>
    </row>
    <row r="12" ht="23.85" customHeight="1" spans="1:7" x14ac:dyDescent="0.25">
      <c r="A12" s="10" t="s">
        <v>1134</v>
      </c>
      <c r="B12" s="10" t="s">
        <v>1135</v>
      </c>
      <c r="C12" s="19" t="s">
        <v>1127</v>
      </c>
      <c r="D12" s="11" t="s">
        <v>1136</v>
      </c>
      <c r="E12" s="11" t="s">
        <v>1137</v>
      </c>
      <c r="F12" s="10" t="s">
        <v>1107</v>
      </c>
      <c r="G12" s="10" t="s">
        <v>72</v>
      </c>
    </row>
    <row r="13" ht="23.85" customHeight="1" spans="1:7" x14ac:dyDescent="0.25">
      <c r="A13" s="10" t="s">
        <v>1138</v>
      </c>
      <c r="B13" s="10" t="s">
        <v>1135</v>
      </c>
      <c r="C13" s="19" t="s">
        <v>1127</v>
      </c>
      <c r="D13" s="11" t="s">
        <v>1139</v>
      </c>
      <c r="E13" s="11" t="s">
        <v>1140</v>
      </c>
      <c r="F13" s="10" t="s">
        <v>1107</v>
      </c>
      <c r="G13" s="10" t="s">
        <v>72</v>
      </c>
    </row>
    <row r="14" ht="35.05" customHeight="1" spans="1:7" x14ac:dyDescent="0.25">
      <c r="A14" s="10" t="s">
        <v>1141</v>
      </c>
      <c r="B14" s="10" t="s">
        <v>1142</v>
      </c>
      <c r="C14" s="19" t="s">
        <v>1143</v>
      </c>
      <c r="D14" s="11" t="s">
        <v>1144</v>
      </c>
      <c r="E14" s="11" t="s">
        <v>1145</v>
      </c>
      <c r="F14" s="10" t="s">
        <v>1146</v>
      </c>
      <c r="G14" s="10" t="s">
        <v>1147</v>
      </c>
    </row>
    <row r="15" ht="23.85" customHeight="1" spans="1:7" x14ac:dyDescent="0.25">
      <c r="A15" s="10" t="s">
        <v>1148</v>
      </c>
      <c r="B15" s="10" t="s">
        <v>1149</v>
      </c>
      <c r="C15" s="17" t="s">
        <v>70</v>
      </c>
      <c r="D15" s="11" t="s">
        <v>1150</v>
      </c>
      <c r="E15" s="11" t="s">
        <v>1151</v>
      </c>
      <c r="F15" s="10" t="s">
        <v>1152</v>
      </c>
      <c r="G15" s="10" t="s">
        <v>72</v>
      </c>
    </row>
    <row r="16" ht="46.25" customHeight="1" spans="1:7" x14ac:dyDescent="0.25">
      <c r="A16" s="10" t="s">
        <v>1153</v>
      </c>
      <c r="B16" s="10" t="s">
        <v>1117</v>
      </c>
      <c r="C16" s="19" t="s">
        <v>1154</v>
      </c>
      <c r="D16" s="11" t="s">
        <v>1155</v>
      </c>
      <c r="E16" s="11" t="s">
        <v>1156</v>
      </c>
      <c r="F16" s="10" t="s">
        <v>1125</v>
      </c>
      <c r="G16" s="10" t="s">
        <v>72</v>
      </c>
    </row>
    <row r="17" ht="23.85" customHeight="1" spans="1:7" x14ac:dyDescent="0.25">
      <c r="A17" s="10" t="s">
        <v>1157</v>
      </c>
      <c r="B17" s="10" t="s">
        <v>1158</v>
      </c>
      <c r="C17" s="18" t="s">
        <v>1110</v>
      </c>
      <c r="D17" s="11" t="s">
        <v>1159</v>
      </c>
      <c r="E17" s="11" t="s">
        <v>1160</v>
      </c>
      <c r="F17" s="10" t="s">
        <v>1107</v>
      </c>
      <c r="G17" s="10" t="s">
        <v>1108</v>
      </c>
    </row>
  </sheetData>
  <autoFilter ref="A1:G17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2" customWidth="1"/>
    <col min="2" max="2" width="29" customWidth="1"/>
    <col min="3" max="3" width="12" customWidth="1"/>
    <col min="4" max="4" width="13" customWidth="1"/>
    <col min="5" max="5" width="12" customWidth="1"/>
    <col min="6" max="7" width="60" customWidth="1"/>
  </cols>
  <sheetData>
    <row r="1" ht="30" customHeight="1" spans="1:7" x14ac:dyDescent="0.25">
      <c r="A1" s="9" t="s">
        <v>78</v>
      </c>
      <c r="B1" s="9" t="s">
        <v>79</v>
      </c>
      <c r="C1" s="9" t="s">
        <v>1161</v>
      </c>
      <c r="D1" s="9" t="s">
        <v>1162</v>
      </c>
      <c r="E1" s="9" t="s">
        <v>622</v>
      </c>
      <c r="F1" s="9" t="s">
        <v>1163</v>
      </c>
      <c r="G1" s="9" t="s">
        <v>1164</v>
      </c>
    </row>
    <row r="2" ht="23.85" customHeight="1" spans="1:7" x14ac:dyDescent="0.25">
      <c r="A2" s="10" t="s">
        <v>113</v>
      </c>
      <c r="B2" s="10" t="s">
        <v>114</v>
      </c>
      <c r="C2" s="10" t="b">
        <f>TRUE()</f>
        <v>1</v>
      </c>
      <c r="D2" s="10" t="s">
        <v>119</v>
      </c>
      <c r="E2" s="10" t="b">
        <f>TRUE()</f>
        <v>1</v>
      </c>
      <c r="F2" s="11" t="s">
        <v>122</v>
      </c>
      <c r="G2" s="11" t="s">
        <v>123</v>
      </c>
    </row>
    <row r="3" ht="23.85" customHeight="1" spans="1:7" x14ac:dyDescent="0.25">
      <c r="A3" s="10" t="s">
        <v>124</v>
      </c>
      <c r="B3" s="10" t="s">
        <v>125</v>
      </c>
      <c r="C3" s="10" t="b">
        <f>TRUE()</f>
        <v>1</v>
      </c>
      <c r="D3" s="10" t="s">
        <v>119</v>
      </c>
      <c r="E3" s="10" t="b">
        <f>TRUE()</f>
        <v>1</v>
      </c>
      <c r="F3" s="11" t="s">
        <v>133</v>
      </c>
      <c r="G3" s="11" t="s">
        <v>134</v>
      </c>
    </row>
    <row r="4" ht="23.85" customHeight="1" spans="1:7" x14ac:dyDescent="0.25">
      <c r="A4" s="10" t="s">
        <v>152</v>
      </c>
      <c r="B4" s="10" t="s">
        <v>153</v>
      </c>
      <c r="C4" s="10" t="b">
        <f>TRUE()</f>
        <v>1</v>
      </c>
      <c r="D4" s="10" t="s">
        <v>119</v>
      </c>
      <c r="E4" s="10" t="b">
        <f>TRUE()</f>
        <v>1</v>
      </c>
      <c r="F4" s="11" t="s">
        <v>161</v>
      </c>
      <c r="G4" s="11" t="s">
        <v>162</v>
      </c>
    </row>
    <row r="5" ht="23.85" customHeight="1" spans="1:7" x14ac:dyDescent="0.25">
      <c r="A5" s="10" t="s">
        <v>755</v>
      </c>
      <c r="B5" s="10" t="s">
        <v>756</v>
      </c>
      <c r="C5" s="10" t="b">
        <f>FALSE()</f>
        <v>0</v>
      </c>
      <c r="D5" s="10" t="s">
        <v>1165</v>
      </c>
      <c r="E5" s="10" t="b">
        <f>FALSE()</f>
        <v>0</v>
      </c>
      <c r="F5" s="11" t="s">
        <v>1166</v>
      </c>
      <c r="G5" s="11"/>
    </row>
    <row r="6" ht="23.85" customHeight="1" spans="1:7" x14ac:dyDescent="0.25">
      <c r="A6" s="10" t="s">
        <v>177</v>
      </c>
      <c r="B6" s="10" t="s">
        <v>178</v>
      </c>
      <c r="C6" s="10" t="b">
        <f>TRUE()</f>
        <v>1</v>
      </c>
      <c r="D6" s="10" t="s">
        <v>119</v>
      </c>
      <c r="E6" s="10" t="b">
        <f>TRUE()</f>
        <v>1</v>
      </c>
      <c r="F6" s="11" t="s">
        <v>185</v>
      </c>
      <c r="G6" s="11" t="s">
        <v>186</v>
      </c>
    </row>
    <row r="7" ht="23.85" customHeight="1" spans="1:7" x14ac:dyDescent="0.25">
      <c r="A7" s="10" t="s">
        <v>222</v>
      </c>
      <c r="B7" s="10" t="s">
        <v>223</v>
      </c>
      <c r="C7" s="10" t="b">
        <f>TRUE()</f>
        <v>1</v>
      </c>
      <c r="D7" s="10" t="s">
        <v>119</v>
      </c>
      <c r="E7" s="10" t="b">
        <f>TRUE()</f>
        <v>1</v>
      </c>
      <c r="F7" s="11" t="s">
        <v>228</v>
      </c>
      <c r="G7" s="11" t="s">
        <v>123</v>
      </c>
    </row>
    <row r="8" ht="23.85" customHeight="1" spans="1:7" x14ac:dyDescent="0.25">
      <c r="A8" s="10" t="s">
        <v>235</v>
      </c>
      <c r="B8" s="10" t="s">
        <v>236</v>
      </c>
      <c r="C8" s="10" t="b">
        <f>TRUE()</f>
        <v>1</v>
      </c>
      <c r="D8" s="10" t="s">
        <v>119</v>
      </c>
      <c r="E8" s="10" t="b">
        <f>TRUE()</f>
        <v>1</v>
      </c>
      <c r="F8" s="11" t="s">
        <v>244</v>
      </c>
      <c r="G8" s="11" t="s">
        <v>245</v>
      </c>
    </row>
    <row r="9" ht="23.85" customHeight="1" spans="1:7" x14ac:dyDescent="0.25">
      <c r="A9" s="10" t="s">
        <v>264</v>
      </c>
      <c r="B9" s="10" t="s">
        <v>265</v>
      </c>
      <c r="C9" s="10" t="b">
        <f>TRUE()</f>
        <v>1</v>
      </c>
      <c r="D9" s="10" t="s">
        <v>119</v>
      </c>
      <c r="E9" s="10" t="b">
        <f>TRUE()</f>
        <v>1</v>
      </c>
      <c r="F9" s="11" t="s">
        <v>271</v>
      </c>
      <c r="G9" s="11" t="s">
        <v>272</v>
      </c>
    </row>
    <row r="10" ht="15" customHeight="1" spans="1:7" x14ac:dyDescent="0.25">
      <c r="A10" s="10" t="s">
        <v>289</v>
      </c>
      <c r="B10" s="10" t="s">
        <v>290</v>
      </c>
      <c r="C10" s="10" t="b">
        <f>TRUE()</f>
        <v>1</v>
      </c>
      <c r="D10" s="10" t="s">
        <v>119</v>
      </c>
      <c r="E10" s="10" t="b">
        <f>TRUE()</f>
        <v>1</v>
      </c>
      <c r="F10" s="11" t="s">
        <v>295</v>
      </c>
      <c r="G10" s="11" t="s">
        <v>296</v>
      </c>
    </row>
    <row r="11" ht="23.85" customHeight="1" spans="1:7" x14ac:dyDescent="0.25">
      <c r="A11" s="10" t="s">
        <v>315</v>
      </c>
      <c r="B11" s="10" t="s">
        <v>316</v>
      </c>
      <c r="C11" s="10" t="b">
        <f>TRUE()</f>
        <v>1</v>
      </c>
      <c r="D11" s="10" t="s">
        <v>119</v>
      </c>
      <c r="E11" s="10" t="b">
        <f>TRUE()</f>
        <v>1</v>
      </c>
      <c r="F11" s="11" t="s">
        <v>228</v>
      </c>
      <c r="G11" s="11" t="s">
        <v>123</v>
      </c>
    </row>
    <row r="12" ht="23.85" customHeight="1" spans="1:7" x14ac:dyDescent="0.25">
      <c r="A12" s="10" t="s">
        <v>1167</v>
      </c>
      <c r="B12" s="10" t="s">
        <v>1168</v>
      </c>
      <c r="C12" s="10" t="b">
        <f>FALSE()</f>
        <v>0</v>
      </c>
      <c r="D12" s="10" t="s">
        <v>1165</v>
      </c>
      <c r="E12" s="10" t="b">
        <f>FALSE()</f>
        <v>0</v>
      </c>
      <c r="F12" s="11" t="s">
        <v>1169</v>
      </c>
      <c r="G12" s="11"/>
    </row>
    <row r="13" ht="23.85" customHeight="1" spans="1:7" x14ac:dyDescent="0.25">
      <c r="A13" s="10" t="s">
        <v>345</v>
      </c>
      <c r="B13" s="10" t="s">
        <v>346</v>
      </c>
      <c r="C13" s="10" t="b">
        <f>TRUE()</f>
        <v>1</v>
      </c>
      <c r="D13" s="10" t="s">
        <v>119</v>
      </c>
      <c r="E13" s="10" t="b">
        <f>TRUE()</f>
        <v>1</v>
      </c>
      <c r="F13" s="11" t="s">
        <v>349</v>
      </c>
      <c r="G13" s="11" t="s">
        <v>123</v>
      </c>
    </row>
    <row r="14" ht="23.85" customHeight="1" spans="1:7" x14ac:dyDescent="0.25">
      <c r="A14" s="10" t="s">
        <v>350</v>
      </c>
      <c r="B14" s="10" t="s">
        <v>351</v>
      </c>
      <c r="C14" s="10" t="b">
        <f>TRUE()</f>
        <v>1</v>
      </c>
      <c r="D14" s="10" t="s">
        <v>119</v>
      </c>
      <c r="E14" s="10" t="b">
        <f>TRUE()</f>
        <v>1</v>
      </c>
      <c r="F14" s="11" t="s">
        <v>356</v>
      </c>
      <c r="G14" s="11" t="s">
        <v>357</v>
      </c>
    </row>
    <row r="15" ht="23.85" customHeight="1" spans="1:7" x14ac:dyDescent="0.25">
      <c r="A15" s="10" t="s">
        <v>384</v>
      </c>
      <c r="B15" s="10" t="s">
        <v>385</v>
      </c>
      <c r="C15" s="10" t="b">
        <f>TRUE()</f>
        <v>1</v>
      </c>
      <c r="D15" s="10" t="s">
        <v>119</v>
      </c>
      <c r="E15" s="10" t="b">
        <f>TRUE()</f>
        <v>1</v>
      </c>
      <c r="F15" s="11" t="s">
        <v>388</v>
      </c>
      <c r="G15" s="11" t="s">
        <v>389</v>
      </c>
    </row>
    <row r="16" ht="23.85" customHeight="1" spans="1:7" x14ac:dyDescent="0.25">
      <c r="A16" s="10" t="s">
        <v>390</v>
      </c>
      <c r="B16" s="10" t="s">
        <v>391</v>
      </c>
      <c r="C16" s="10" t="b">
        <f>TRUE()</f>
        <v>1</v>
      </c>
      <c r="D16" s="10" t="s">
        <v>119</v>
      </c>
      <c r="E16" s="10" t="b">
        <f>TRUE()</f>
        <v>1</v>
      </c>
      <c r="F16" s="11" t="s">
        <v>394</v>
      </c>
      <c r="G16" s="11" t="s">
        <v>134</v>
      </c>
    </row>
    <row r="17" ht="15" customHeight="1" spans="1:7" x14ac:dyDescent="0.25">
      <c r="A17" s="10" t="s">
        <v>395</v>
      </c>
      <c r="B17" s="10" t="s">
        <v>396</v>
      </c>
      <c r="C17" s="10" t="b">
        <f>TRUE()</f>
        <v>1</v>
      </c>
      <c r="D17" s="10" t="s">
        <v>119</v>
      </c>
      <c r="E17" s="10" t="b">
        <f>TRUE()</f>
        <v>1</v>
      </c>
      <c r="F17" s="11" t="s">
        <v>399</v>
      </c>
      <c r="G17" s="11" t="s">
        <v>296</v>
      </c>
    </row>
    <row r="18" ht="23.85" customHeight="1" spans="1:7" x14ac:dyDescent="0.25">
      <c r="A18" s="10" t="s">
        <v>404</v>
      </c>
      <c r="B18" s="10" t="s">
        <v>405</v>
      </c>
      <c r="C18" s="10" t="b">
        <f>TRUE()</f>
        <v>1</v>
      </c>
      <c r="D18" s="10" t="s">
        <v>119</v>
      </c>
      <c r="E18" s="10" t="b">
        <f>TRUE()</f>
        <v>1</v>
      </c>
      <c r="F18" s="11" t="s">
        <v>408</v>
      </c>
      <c r="G18" s="11" t="s">
        <v>134</v>
      </c>
    </row>
    <row r="19" ht="23.85" customHeight="1" spans="1:7" x14ac:dyDescent="0.25">
      <c r="A19" s="10" t="s">
        <v>409</v>
      </c>
      <c r="B19" s="10" t="s">
        <v>410</v>
      </c>
      <c r="C19" s="10" t="b">
        <f>TRUE()</f>
        <v>1</v>
      </c>
      <c r="D19" s="10" t="s">
        <v>119</v>
      </c>
      <c r="E19" s="10" t="b">
        <f>TRUE()</f>
        <v>1</v>
      </c>
      <c r="F19" s="11" t="s">
        <v>413</v>
      </c>
      <c r="G19" s="11" t="s">
        <v>245</v>
      </c>
    </row>
    <row r="20" ht="23.85" customHeight="1" spans="1:7" x14ac:dyDescent="0.25">
      <c r="A20" s="10" t="s">
        <v>420</v>
      </c>
      <c r="B20" s="10" t="s">
        <v>421</v>
      </c>
      <c r="C20" s="10" t="b">
        <f>TRUE()</f>
        <v>1</v>
      </c>
      <c r="D20" s="10" t="s">
        <v>119</v>
      </c>
      <c r="E20" s="10" t="b">
        <f>TRUE()</f>
        <v>1</v>
      </c>
      <c r="F20" s="11" t="s">
        <v>424</v>
      </c>
      <c r="G20" s="11" t="s">
        <v>134</v>
      </c>
    </row>
    <row r="21" ht="23.85" customHeight="1" spans="1:7" x14ac:dyDescent="0.25">
      <c r="A21" s="10" t="s">
        <v>425</v>
      </c>
      <c r="B21" s="10" t="s">
        <v>426</v>
      </c>
      <c r="C21" s="10" t="b">
        <f>TRUE()</f>
        <v>1</v>
      </c>
      <c r="D21" s="10" t="s">
        <v>119</v>
      </c>
      <c r="E21" s="10" t="b">
        <f>TRUE()</f>
        <v>1</v>
      </c>
      <c r="F21" s="11" t="s">
        <v>429</v>
      </c>
      <c r="G21" s="11" t="s">
        <v>134</v>
      </c>
    </row>
  </sheetData>
  <autoFilter ref="A1:G21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39" customWidth="1"/>
    <col min="2" max="2" width="35" customWidth="1"/>
    <col min="3" max="4" width="12" customWidth="1"/>
    <col min="5" max="5" width="30" customWidth="1"/>
    <col min="6" max="6" width="12" customWidth="1"/>
  </cols>
  <sheetData>
    <row r="1" ht="30" customHeight="1" spans="1:6" x14ac:dyDescent="0.25">
      <c r="A1" s="9" t="s">
        <v>92</v>
      </c>
      <c r="B1" s="9" t="s">
        <v>1170</v>
      </c>
      <c r="C1" s="9" t="s">
        <v>94</v>
      </c>
      <c r="D1" s="9" t="s">
        <v>1171</v>
      </c>
      <c r="E1" s="9" t="s">
        <v>1172</v>
      </c>
      <c r="F1" s="9" t="s">
        <v>622</v>
      </c>
    </row>
    <row r="2" ht="15" customHeight="1" spans="1:6" x14ac:dyDescent="0.25">
      <c r="A2" s="10" t="s">
        <v>443</v>
      </c>
      <c r="B2" s="10" t="s">
        <v>435</v>
      </c>
      <c r="C2" s="10">
        <v>3</v>
      </c>
      <c r="D2" s="10" t="b">
        <f>TRUE()</f>
        <v>1</v>
      </c>
      <c r="E2" s="10" t="s">
        <v>1173</v>
      </c>
      <c r="F2" s="10" t="b">
        <f>TRUE()</f>
        <v>1</v>
      </c>
    </row>
    <row r="3" ht="15" customHeight="1" spans="1:6" x14ac:dyDescent="0.25">
      <c r="A3" s="10" t="s">
        <v>443</v>
      </c>
      <c r="B3" s="10" t="s">
        <v>445</v>
      </c>
      <c r="C3" s="10">
        <v>3</v>
      </c>
      <c r="D3" s="10" t="b">
        <f>TRUE()</f>
        <v>1</v>
      </c>
      <c r="E3" s="10" t="s">
        <v>1173</v>
      </c>
      <c r="F3" s="10" t="b">
        <f>TRUE()</f>
        <v>1</v>
      </c>
    </row>
    <row r="4" ht="15" customHeight="1" spans="1:6" x14ac:dyDescent="0.25">
      <c r="A4" s="10" t="s">
        <v>443</v>
      </c>
      <c r="B4" s="10" t="s">
        <v>449</v>
      </c>
      <c r="C4" s="10">
        <v>3</v>
      </c>
      <c r="D4" s="10" t="b">
        <f>TRUE()</f>
        <v>1</v>
      </c>
      <c r="E4" s="10" t="s">
        <v>1173</v>
      </c>
      <c r="F4" s="10" t="b">
        <f>TRUE()</f>
        <v>1</v>
      </c>
    </row>
    <row r="5" ht="15" customHeight="1" spans="1:6" x14ac:dyDescent="0.25">
      <c r="A5" s="10" t="s">
        <v>443</v>
      </c>
      <c r="B5" s="10" t="s">
        <v>456</v>
      </c>
      <c r="C5" s="10">
        <v>3</v>
      </c>
      <c r="D5" s="10" t="b">
        <f>TRUE()</f>
        <v>1</v>
      </c>
      <c r="E5" s="10" t="s">
        <v>1173</v>
      </c>
      <c r="F5" s="10" t="b">
        <f>TRUE()</f>
        <v>1</v>
      </c>
    </row>
    <row r="6" ht="15" customHeight="1" spans="1:6" x14ac:dyDescent="0.25">
      <c r="A6" s="10" t="s">
        <v>443</v>
      </c>
      <c r="B6" s="10" t="s">
        <v>465</v>
      </c>
      <c r="C6" s="10">
        <v>3</v>
      </c>
      <c r="D6" s="10" t="b">
        <f>TRUE()</f>
        <v>1</v>
      </c>
      <c r="E6" s="10" t="s">
        <v>1173</v>
      </c>
      <c r="F6" s="10" t="b">
        <f>TRUE()</f>
        <v>1</v>
      </c>
    </row>
    <row r="7" ht="15" customHeight="1" spans="1:6" x14ac:dyDescent="0.25">
      <c r="A7" s="10" t="s">
        <v>443</v>
      </c>
      <c r="B7" s="10" t="s">
        <v>469</v>
      </c>
      <c r="C7" s="10">
        <v>3</v>
      </c>
      <c r="D7" s="10" t="b">
        <f>TRUE()</f>
        <v>1</v>
      </c>
      <c r="E7" s="10" t="s">
        <v>1173</v>
      </c>
      <c r="F7" s="10" t="b">
        <f>TRUE()</f>
        <v>1</v>
      </c>
    </row>
    <row r="8" ht="15" customHeight="1" spans="1:6" x14ac:dyDescent="0.25">
      <c r="A8" s="10" t="s">
        <v>443</v>
      </c>
      <c r="B8" s="10" t="s">
        <v>476</v>
      </c>
      <c r="C8" s="10">
        <v>3</v>
      </c>
      <c r="D8" s="10" t="b">
        <f>TRUE()</f>
        <v>1</v>
      </c>
      <c r="E8" s="10" t="s">
        <v>1173</v>
      </c>
      <c r="F8" s="10" t="b">
        <f>TRUE()</f>
        <v>1</v>
      </c>
    </row>
    <row r="9" ht="15" customHeight="1" spans="1:6" x14ac:dyDescent="0.25">
      <c r="A9" s="10" t="s">
        <v>443</v>
      </c>
      <c r="B9" s="10" t="s">
        <v>481</v>
      </c>
      <c r="C9" s="10">
        <v>3</v>
      </c>
      <c r="D9" s="10" t="b">
        <f>TRUE()</f>
        <v>1</v>
      </c>
      <c r="E9" s="10" t="s">
        <v>1173</v>
      </c>
      <c r="F9" s="10" t="b">
        <f>TRUE()</f>
        <v>1</v>
      </c>
    </row>
    <row r="10" ht="15" customHeight="1" spans="1:6" x14ac:dyDescent="0.25">
      <c r="A10" s="10" t="s">
        <v>1174</v>
      </c>
      <c r="B10" s="10" t="s">
        <v>435</v>
      </c>
      <c r="C10" s="10">
        <v>2</v>
      </c>
      <c r="D10" s="10" t="b">
        <f>TRUE()</f>
        <v>1</v>
      </c>
      <c r="E10" s="10" t="s">
        <v>1175</v>
      </c>
      <c r="F10" s="10" t="b">
        <f>FALSE()</f>
        <v>0</v>
      </c>
    </row>
    <row r="11" ht="15" customHeight="1" spans="1:6" x14ac:dyDescent="0.25">
      <c r="A11" s="10" t="s">
        <v>1174</v>
      </c>
      <c r="B11" s="10" t="s">
        <v>445</v>
      </c>
      <c r="C11" s="10">
        <v>2</v>
      </c>
      <c r="D11" s="10" t="b">
        <f>TRUE()</f>
        <v>1</v>
      </c>
      <c r="E11" s="10" t="s">
        <v>1175</v>
      </c>
      <c r="F11" s="10" t="b">
        <f>FALSE()</f>
        <v>0</v>
      </c>
    </row>
    <row r="12" ht="15" customHeight="1" spans="1:6" x14ac:dyDescent="0.25">
      <c r="A12" s="10" t="s">
        <v>1174</v>
      </c>
      <c r="B12" s="10" t="s">
        <v>449</v>
      </c>
      <c r="C12" s="10">
        <v>2</v>
      </c>
      <c r="D12" s="10" t="b">
        <f>TRUE()</f>
        <v>1</v>
      </c>
      <c r="E12" s="10" t="s">
        <v>1175</v>
      </c>
      <c r="F12" s="10" t="b">
        <f>FALSE()</f>
        <v>0</v>
      </c>
    </row>
    <row r="13" ht="15" customHeight="1" spans="1:6" x14ac:dyDescent="0.25">
      <c r="A13" s="10" t="s">
        <v>1174</v>
      </c>
      <c r="B13" s="10" t="s">
        <v>456</v>
      </c>
      <c r="C13" s="10">
        <v>2</v>
      </c>
      <c r="D13" s="10" t="b">
        <f>TRUE()</f>
        <v>1</v>
      </c>
      <c r="E13" s="10" t="s">
        <v>1175</v>
      </c>
      <c r="F13" s="10" t="b">
        <f>FALSE()</f>
        <v>0</v>
      </c>
    </row>
    <row r="14" ht="15" customHeight="1" spans="1:6" x14ac:dyDescent="0.25">
      <c r="A14" s="10" t="s">
        <v>1174</v>
      </c>
      <c r="B14" s="10" t="s">
        <v>465</v>
      </c>
      <c r="C14" s="10">
        <v>2</v>
      </c>
      <c r="D14" s="10" t="b">
        <f>TRUE()</f>
        <v>1</v>
      </c>
      <c r="E14" s="10" t="s">
        <v>1175</v>
      </c>
      <c r="F14" s="10" t="b">
        <f>FALSE()</f>
        <v>0</v>
      </c>
    </row>
    <row r="15" ht="15" customHeight="1" spans="1:6" x14ac:dyDescent="0.25">
      <c r="A15" s="10" t="s">
        <v>490</v>
      </c>
      <c r="B15" s="10" t="s">
        <v>485</v>
      </c>
      <c r="C15" s="10">
        <v>3</v>
      </c>
      <c r="D15" s="10" t="b">
        <f>TRUE()</f>
        <v>1</v>
      </c>
      <c r="E15" s="10" t="s">
        <v>1173</v>
      </c>
      <c r="F15" s="10" t="b">
        <f>TRUE()</f>
        <v>1</v>
      </c>
    </row>
    <row r="16" ht="15" customHeight="1" spans="1:6" x14ac:dyDescent="0.25">
      <c r="A16" s="10" t="s">
        <v>490</v>
      </c>
      <c r="B16" s="10" t="s">
        <v>492</v>
      </c>
      <c r="C16" s="10">
        <v>3</v>
      </c>
      <c r="D16" s="10" t="b">
        <f>TRUE()</f>
        <v>1</v>
      </c>
      <c r="E16" s="10" t="s">
        <v>1173</v>
      </c>
      <c r="F16" s="10" t="b">
        <f>TRUE()</f>
        <v>1</v>
      </c>
    </row>
    <row r="17" ht="15" customHeight="1" spans="1:6" x14ac:dyDescent="0.25">
      <c r="A17" s="10" t="s">
        <v>490</v>
      </c>
      <c r="B17" s="10" t="s">
        <v>496</v>
      </c>
      <c r="C17" s="10">
        <v>3</v>
      </c>
      <c r="D17" s="10" t="b">
        <f>TRUE()</f>
        <v>1</v>
      </c>
      <c r="E17" s="10" t="s">
        <v>1173</v>
      </c>
      <c r="F17" s="10" t="b">
        <f>TRUE()</f>
        <v>1</v>
      </c>
    </row>
    <row r="18" ht="15" customHeight="1" spans="1:6" x14ac:dyDescent="0.25">
      <c r="A18" s="10" t="s">
        <v>504</v>
      </c>
      <c r="B18" s="10" t="s">
        <v>500</v>
      </c>
      <c r="C18" s="10">
        <v>3</v>
      </c>
      <c r="D18" s="10" t="b">
        <f>TRUE()</f>
        <v>1</v>
      </c>
      <c r="E18" s="10" t="s">
        <v>1173</v>
      </c>
      <c r="F18" s="10" t="b">
        <f>TRUE()</f>
        <v>1</v>
      </c>
    </row>
    <row r="19" ht="15" customHeight="1" spans="1:6" x14ac:dyDescent="0.25">
      <c r="A19" s="10" t="s">
        <v>504</v>
      </c>
      <c r="B19" s="10" t="s">
        <v>506</v>
      </c>
      <c r="C19" s="10">
        <v>3</v>
      </c>
      <c r="D19" s="10" t="b">
        <f>TRUE()</f>
        <v>1</v>
      </c>
      <c r="E19" s="10" t="s">
        <v>1173</v>
      </c>
      <c r="F19" s="10" t="b">
        <f>TRUE()</f>
        <v>1</v>
      </c>
    </row>
    <row r="20" ht="15" customHeight="1" spans="1:6" x14ac:dyDescent="0.25">
      <c r="A20" s="10" t="s">
        <v>517</v>
      </c>
      <c r="B20" s="10" t="s">
        <v>513</v>
      </c>
      <c r="C20" s="10">
        <v>3</v>
      </c>
      <c r="D20" s="10" t="b">
        <f>TRUE()</f>
        <v>1</v>
      </c>
      <c r="E20" s="10" t="s">
        <v>1173</v>
      </c>
      <c r="F20" s="10" t="b">
        <f>TRUE()</f>
        <v>1</v>
      </c>
    </row>
    <row r="21" ht="15" customHeight="1" spans="1:6" x14ac:dyDescent="0.25">
      <c r="A21" s="10" t="s">
        <v>1176</v>
      </c>
      <c r="B21" s="10" t="s">
        <v>1177</v>
      </c>
      <c r="C21" s="10">
        <v>3</v>
      </c>
      <c r="D21" s="10" t="b">
        <f>FALSE()</f>
        <v>0</v>
      </c>
      <c r="E21" s="10" t="s">
        <v>1178</v>
      </c>
      <c r="F21" s="10" t="b">
        <f>FALSE()</f>
        <v>0</v>
      </c>
    </row>
    <row r="22" ht="15" customHeight="1" spans="1:6" x14ac:dyDescent="0.25">
      <c r="A22" s="10" t="s">
        <v>1176</v>
      </c>
      <c r="B22" s="10" t="s">
        <v>1179</v>
      </c>
      <c r="C22" s="10">
        <v>3</v>
      </c>
      <c r="D22" s="10" t="b">
        <f>FALSE()</f>
        <v>0</v>
      </c>
      <c r="E22" s="10" t="s">
        <v>1178</v>
      </c>
      <c r="F22" s="10" t="b">
        <f>FALSE()</f>
        <v>0</v>
      </c>
    </row>
  </sheetData>
  <autoFilter ref="A1:F22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2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2" customWidth="1"/>
    <col min="2" max="2" width="60" customWidth="1"/>
    <col min="3" max="3" width="26" customWidth="1"/>
    <col min="4" max="6" width="14" customWidth="1"/>
    <col min="7" max="7" width="15" customWidth="1"/>
    <col min="8" max="8" width="12" customWidth="1"/>
    <col min="9" max="9" width="25" customWidth="1"/>
    <col min="10" max="12" width="12" customWidth="1"/>
    <col min="13" max="14" width="31" customWidth="1"/>
    <col min="15" max="16" width="60" customWidth="1"/>
    <col min="17" max="17" width="14" customWidth="1"/>
  </cols>
  <sheetData>
    <row r="1" ht="30" customHeight="1" spans="1:17" x14ac:dyDescent="0.25">
      <c r="A1" s="9" t="s">
        <v>78</v>
      </c>
      <c r="B1" s="9" t="s">
        <v>79</v>
      </c>
      <c r="C1" s="9" t="s">
        <v>1180</v>
      </c>
      <c r="D1" s="9" t="s">
        <v>80</v>
      </c>
      <c r="E1" s="9" t="s">
        <v>81</v>
      </c>
      <c r="F1" s="9" t="s">
        <v>82</v>
      </c>
      <c r="G1" s="9" t="s">
        <v>944</v>
      </c>
      <c r="H1" s="9" t="s">
        <v>1181</v>
      </c>
      <c r="I1" s="9" t="s">
        <v>93</v>
      </c>
      <c r="J1" s="9" t="s">
        <v>94</v>
      </c>
      <c r="K1" s="9" t="s">
        <v>622</v>
      </c>
      <c r="L1" s="9" t="s">
        <v>91</v>
      </c>
      <c r="M1" s="9" t="s">
        <v>1162</v>
      </c>
      <c r="N1" s="9" t="s">
        <v>92</v>
      </c>
      <c r="O1" s="9" t="s">
        <v>1182</v>
      </c>
      <c r="P1" s="9" t="s">
        <v>1183</v>
      </c>
      <c r="Q1" s="9" t="s">
        <v>96</v>
      </c>
    </row>
    <row r="2" ht="15" customHeight="1" spans="1:17" x14ac:dyDescent="0.25">
      <c r="A2" s="10" t="s">
        <v>650</v>
      </c>
      <c r="B2" s="11" t="s">
        <v>651</v>
      </c>
      <c r="C2" s="10" t="s">
        <v>241</v>
      </c>
      <c r="D2" s="10"/>
      <c r="E2" s="10"/>
      <c r="F2" s="10" t="s">
        <v>1184</v>
      </c>
      <c r="G2" s="10" t="s">
        <v>653</v>
      </c>
      <c r="H2" s="10" t="s">
        <v>1185</v>
      </c>
      <c r="I2" s="10" t="s">
        <v>1186</v>
      </c>
      <c r="J2" s="10">
        <v>1</v>
      </c>
      <c r="K2" s="10" t="b">
        <f>FALSE()</f>
        <v>0</v>
      </c>
      <c r="L2" s="10"/>
      <c r="M2" s="10" t="s">
        <v>1187</v>
      </c>
      <c r="N2" s="10"/>
      <c r="O2" s="11" t="s">
        <v>1188</v>
      </c>
      <c r="P2" s="11"/>
      <c r="Q2" s="10"/>
    </row>
    <row r="3" ht="15" customHeight="1" spans="1:17" x14ac:dyDescent="0.25">
      <c r="A3" s="10" t="s">
        <v>1189</v>
      </c>
      <c r="B3" s="11" t="s">
        <v>1190</v>
      </c>
      <c r="C3" s="10" t="s">
        <v>241</v>
      </c>
      <c r="D3" s="10"/>
      <c r="E3" s="10"/>
      <c r="F3" s="10" t="s">
        <v>1184</v>
      </c>
      <c r="G3" s="10"/>
      <c r="H3" s="10" t="s">
        <v>1185</v>
      </c>
      <c r="I3" s="10" t="s">
        <v>1186</v>
      </c>
      <c r="J3" s="10">
        <v>1</v>
      </c>
      <c r="K3" s="10" t="b">
        <f>FALSE()</f>
        <v>0</v>
      </c>
      <c r="L3" s="10"/>
      <c r="M3" s="10" t="s">
        <v>1187</v>
      </c>
      <c r="N3" s="10"/>
      <c r="O3" s="11" t="s">
        <v>1188</v>
      </c>
      <c r="P3" s="11"/>
      <c r="Q3" s="10"/>
    </row>
    <row r="4" ht="15" customHeight="1" spans="1:17" x14ac:dyDescent="0.25">
      <c r="A4" s="10" t="s">
        <v>661</v>
      </c>
      <c r="B4" s="11" t="s">
        <v>662</v>
      </c>
      <c r="C4" s="10" t="s">
        <v>241</v>
      </c>
      <c r="D4" s="10"/>
      <c r="E4" s="10"/>
      <c r="F4" s="10" t="s">
        <v>1184</v>
      </c>
      <c r="G4" s="10" t="s">
        <v>139</v>
      </c>
      <c r="H4" s="10" t="s">
        <v>1185</v>
      </c>
      <c r="I4" s="10" t="s">
        <v>1191</v>
      </c>
      <c r="J4" s="10">
        <v>1</v>
      </c>
      <c r="K4" s="10" t="b">
        <f>FALSE()</f>
        <v>0</v>
      </c>
      <c r="L4" s="10"/>
      <c r="M4" s="10" t="s">
        <v>1187</v>
      </c>
      <c r="N4" s="10"/>
      <c r="O4" s="11" t="s">
        <v>1188</v>
      </c>
      <c r="P4" s="11"/>
      <c r="Q4" s="10"/>
    </row>
    <row r="5" ht="15" customHeight="1" spans="1:17" x14ac:dyDescent="0.25">
      <c r="A5" s="10" t="s">
        <v>665</v>
      </c>
      <c r="B5" s="11" t="s">
        <v>666</v>
      </c>
      <c r="C5" s="10" t="s">
        <v>241</v>
      </c>
      <c r="D5" s="10"/>
      <c r="E5" s="10"/>
      <c r="F5" s="10" t="s">
        <v>1184</v>
      </c>
      <c r="G5" s="10" t="s">
        <v>667</v>
      </c>
      <c r="H5" s="10" t="s">
        <v>1185</v>
      </c>
      <c r="I5" s="10" t="s">
        <v>1186</v>
      </c>
      <c r="J5" s="10">
        <v>1</v>
      </c>
      <c r="K5" s="10" t="b">
        <f>FALSE()</f>
        <v>0</v>
      </c>
      <c r="L5" s="10"/>
      <c r="M5" s="10" t="s">
        <v>1187</v>
      </c>
      <c r="N5" s="10"/>
      <c r="O5" s="11" t="s">
        <v>1188</v>
      </c>
      <c r="P5" s="11"/>
      <c r="Q5" s="10"/>
    </row>
    <row r="6" ht="15" customHeight="1" spans="1:17" x14ac:dyDescent="0.25">
      <c r="A6" s="10" t="s">
        <v>1192</v>
      </c>
      <c r="B6" s="11" t="s">
        <v>1193</v>
      </c>
      <c r="C6" s="10" t="s">
        <v>241</v>
      </c>
      <c r="D6" s="10"/>
      <c r="E6" s="10"/>
      <c r="F6" s="10" t="s">
        <v>1184</v>
      </c>
      <c r="G6" s="10"/>
      <c r="H6" s="10" t="s">
        <v>1185</v>
      </c>
      <c r="I6" s="10" t="s">
        <v>1194</v>
      </c>
      <c r="J6" s="10">
        <v>1</v>
      </c>
      <c r="K6" s="10" t="b">
        <f>FALSE()</f>
        <v>0</v>
      </c>
      <c r="L6" s="10"/>
      <c r="M6" s="10" t="s">
        <v>1187</v>
      </c>
      <c r="N6" s="10"/>
      <c r="O6" s="11" t="s">
        <v>1188</v>
      </c>
      <c r="P6" s="11"/>
      <c r="Q6" s="10"/>
    </row>
    <row r="7" ht="15" customHeight="1" spans="1:17" x14ac:dyDescent="0.25">
      <c r="A7" s="10" t="s">
        <v>671</v>
      </c>
      <c r="B7" s="11" t="s">
        <v>672</v>
      </c>
      <c r="C7" s="10" t="s">
        <v>241</v>
      </c>
      <c r="D7" s="10"/>
      <c r="E7" s="10"/>
      <c r="F7" s="10" t="s">
        <v>1184</v>
      </c>
      <c r="G7" s="10" t="s">
        <v>181</v>
      </c>
      <c r="H7" s="10" t="s">
        <v>1185</v>
      </c>
      <c r="I7" s="10" t="s">
        <v>1191</v>
      </c>
      <c r="J7" s="10">
        <v>1</v>
      </c>
      <c r="K7" s="10" t="b">
        <f>FALSE()</f>
        <v>0</v>
      </c>
      <c r="L7" s="10"/>
      <c r="M7" s="10" t="s">
        <v>1187</v>
      </c>
      <c r="N7" s="10"/>
      <c r="O7" s="11" t="s">
        <v>1188</v>
      </c>
      <c r="P7" s="11"/>
      <c r="Q7" s="10"/>
    </row>
    <row r="8" ht="15" customHeight="1" spans="1:17" x14ac:dyDescent="0.25">
      <c r="A8" s="10" t="s">
        <v>1195</v>
      </c>
      <c r="B8" s="11" t="s">
        <v>1196</v>
      </c>
      <c r="C8" s="10" t="s">
        <v>241</v>
      </c>
      <c r="D8" s="10"/>
      <c r="E8" s="10"/>
      <c r="F8" s="10" t="s">
        <v>1184</v>
      </c>
      <c r="G8" s="10"/>
      <c r="H8" s="10" t="s">
        <v>1185</v>
      </c>
      <c r="I8" s="10" t="s">
        <v>1186</v>
      </c>
      <c r="J8" s="10">
        <v>1</v>
      </c>
      <c r="K8" s="10" t="b">
        <f>FALSE()</f>
        <v>0</v>
      </c>
      <c r="L8" s="10"/>
      <c r="M8" s="10" t="s">
        <v>1187</v>
      </c>
      <c r="N8" s="10"/>
      <c r="O8" s="11" t="s">
        <v>1188</v>
      </c>
      <c r="P8" s="11"/>
      <c r="Q8" s="10"/>
    </row>
    <row r="9" ht="15" customHeight="1" spans="1:17" x14ac:dyDescent="0.25">
      <c r="A9" s="10" t="s">
        <v>1197</v>
      </c>
      <c r="B9" s="11" t="s">
        <v>1198</v>
      </c>
      <c r="C9" s="10" t="s">
        <v>241</v>
      </c>
      <c r="D9" s="10"/>
      <c r="E9" s="10"/>
      <c r="F9" s="10" t="s">
        <v>1184</v>
      </c>
      <c r="G9" s="10"/>
      <c r="H9" s="10" t="s">
        <v>1185</v>
      </c>
      <c r="I9" s="10" t="s">
        <v>1186</v>
      </c>
      <c r="J9" s="10">
        <v>1</v>
      </c>
      <c r="K9" s="10" t="b">
        <f>FALSE()</f>
        <v>0</v>
      </c>
      <c r="L9" s="10"/>
      <c r="M9" s="10" t="s">
        <v>1187</v>
      </c>
      <c r="N9" s="10"/>
      <c r="O9" s="11" t="s">
        <v>1188</v>
      </c>
      <c r="P9" s="11"/>
      <c r="Q9" s="10"/>
    </row>
    <row r="10" ht="15" customHeight="1" spans="1:17" x14ac:dyDescent="0.25">
      <c r="A10" s="10" t="s">
        <v>1199</v>
      </c>
      <c r="B10" s="11" t="s">
        <v>1200</v>
      </c>
      <c r="C10" s="10" t="s">
        <v>241</v>
      </c>
      <c r="D10" s="10"/>
      <c r="E10" s="10"/>
      <c r="F10" s="10" t="s">
        <v>1184</v>
      </c>
      <c r="G10" s="10"/>
      <c r="H10" s="10" t="s">
        <v>1185</v>
      </c>
      <c r="I10" s="10" t="s">
        <v>1186</v>
      </c>
      <c r="J10" s="10">
        <v>1</v>
      </c>
      <c r="K10" s="10" t="b">
        <f>FALSE()</f>
        <v>0</v>
      </c>
      <c r="L10" s="10"/>
      <c r="M10" s="10" t="s">
        <v>1187</v>
      </c>
      <c r="N10" s="10"/>
      <c r="O10" s="11" t="s">
        <v>1188</v>
      </c>
      <c r="P10" s="11"/>
      <c r="Q10" s="10"/>
    </row>
    <row r="11" ht="15" customHeight="1" spans="1:17" x14ac:dyDescent="0.25">
      <c r="A11" s="10" t="s">
        <v>1201</v>
      </c>
      <c r="B11" s="11" t="s">
        <v>1202</v>
      </c>
      <c r="C11" s="10" t="s">
        <v>241</v>
      </c>
      <c r="D11" s="10"/>
      <c r="E11" s="10"/>
      <c r="F11" s="10" t="s">
        <v>1184</v>
      </c>
      <c r="G11" s="10"/>
      <c r="H11" s="10" t="s">
        <v>1185</v>
      </c>
      <c r="I11" s="10" t="s">
        <v>1191</v>
      </c>
      <c r="J11" s="10">
        <v>1</v>
      </c>
      <c r="K11" s="10" t="b">
        <f>FALSE()</f>
        <v>0</v>
      </c>
      <c r="L11" s="10"/>
      <c r="M11" s="10" t="s">
        <v>1187</v>
      </c>
      <c r="N11" s="10"/>
      <c r="O11" s="11" t="s">
        <v>1188</v>
      </c>
      <c r="P11" s="11"/>
      <c r="Q11" s="10"/>
    </row>
    <row r="12" ht="15" customHeight="1" spans="1:17" x14ac:dyDescent="0.25">
      <c r="A12" s="10" t="s">
        <v>676</v>
      </c>
      <c r="B12" s="11" t="s">
        <v>677</v>
      </c>
      <c r="C12" s="10" t="s">
        <v>241</v>
      </c>
      <c r="D12" s="10"/>
      <c r="E12" s="10"/>
      <c r="F12" s="10" t="s">
        <v>1184</v>
      </c>
      <c r="G12" s="10" t="s">
        <v>117</v>
      </c>
      <c r="H12" s="10" t="s">
        <v>1185</v>
      </c>
      <c r="I12" s="10" t="s">
        <v>1194</v>
      </c>
      <c r="J12" s="10">
        <v>1</v>
      </c>
      <c r="K12" s="10" t="b">
        <f>FALSE()</f>
        <v>0</v>
      </c>
      <c r="L12" s="10"/>
      <c r="M12" s="10" t="s">
        <v>1187</v>
      </c>
      <c r="N12" s="10"/>
      <c r="O12" s="11" t="s">
        <v>1188</v>
      </c>
      <c r="P12" s="11"/>
      <c r="Q12" s="10"/>
    </row>
    <row r="13" ht="15" customHeight="1" spans="1:17" x14ac:dyDescent="0.25">
      <c r="A13" s="10" t="s">
        <v>1203</v>
      </c>
      <c r="B13" s="11" t="s">
        <v>1204</v>
      </c>
      <c r="C13" s="10" t="s">
        <v>241</v>
      </c>
      <c r="D13" s="10"/>
      <c r="E13" s="10"/>
      <c r="F13" s="10" t="s">
        <v>1184</v>
      </c>
      <c r="G13" s="10"/>
      <c r="H13" s="10" t="s">
        <v>1185</v>
      </c>
      <c r="I13" s="10" t="s">
        <v>1186</v>
      </c>
      <c r="J13" s="10">
        <v>1</v>
      </c>
      <c r="K13" s="10" t="b">
        <f>FALSE()</f>
        <v>0</v>
      </c>
      <c r="L13" s="10"/>
      <c r="M13" s="10" t="s">
        <v>1187</v>
      </c>
      <c r="N13" s="10"/>
      <c r="O13" s="11" t="s">
        <v>1188</v>
      </c>
      <c r="P13" s="11"/>
      <c r="Q13" s="10"/>
    </row>
    <row r="14" ht="15" customHeight="1" spans="1:17" x14ac:dyDescent="0.25">
      <c r="A14" s="10" t="s">
        <v>1205</v>
      </c>
      <c r="B14" s="11" t="s">
        <v>1206</v>
      </c>
      <c r="C14" s="10" t="s">
        <v>241</v>
      </c>
      <c r="D14" s="10"/>
      <c r="E14" s="10"/>
      <c r="F14" s="10" t="s">
        <v>1184</v>
      </c>
      <c r="G14" s="10"/>
      <c r="H14" s="10" t="s">
        <v>1185</v>
      </c>
      <c r="I14" s="10" t="s">
        <v>1186</v>
      </c>
      <c r="J14" s="10">
        <v>1</v>
      </c>
      <c r="K14" s="10" t="b">
        <f>FALSE()</f>
        <v>0</v>
      </c>
      <c r="L14" s="10"/>
      <c r="M14" s="10" t="s">
        <v>1187</v>
      </c>
      <c r="N14" s="10"/>
      <c r="O14" s="11" t="s">
        <v>1188</v>
      </c>
      <c r="P14" s="11"/>
      <c r="Q14" s="10"/>
    </row>
    <row r="15" ht="15" customHeight="1" spans="1:17" x14ac:dyDescent="0.25">
      <c r="A15" s="10" t="s">
        <v>1207</v>
      </c>
      <c r="B15" s="11" t="s">
        <v>1208</v>
      </c>
      <c r="C15" s="10" t="s">
        <v>241</v>
      </c>
      <c r="D15" s="10"/>
      <c r="E15" s="10"/>
      <c r="F15" s="10" t="s">
        <v>1184</v>
      </c>
      <c r="G15" s="10"/>
      <c r="H15" s="10" t="s">
        <v>1185</v>
      </c>
      <c r="I15" s="10" t="s">
        <v>1186</v>
      </c>
      <c r="J15" s="10">
        <v>1</v>
      </c>
      <c r="K15" s="10" t="b">
        <f>FALSE()</f>
        <v>0</v>
      </c>
      <c r="L15" s="10"/>
      <c r="M15" s="10" t="s">
        <v>1187</v>
      </c>
      <c r="N15" s="10"/>
      <c r="O15" s="11" t="s">
        <v>1188</v>
      </c>
      <c r="P15" s="11"/>
      <c r="Q15" s="10"/>
    </row>
    <row r="16" ht="15" customHeight="1" spans="1:17" x14ac:dyDescent="0.25">
      <c r="A16" s="10" t="s">
        <v>1209</v>
      </c>
      <c r="B16" s="11" t="s">
        <v>1210</v>
      </c>
      <c r="C16" s="10" t="s">
        <v>241</v>
      </c>
      <c r="D16" s="10"/>
      <c r="E16" s="10"/>
      <c r="F16" s="10" t="s">
        <v>1184</v>
      </c>
      <c r="G16" s="10"/>
      <c r="H16" s="10" t="s">
        <v>1185</v>
      </c>
      <c r="I16" s="10" t="s">
        <v>1191</v>
      </c>
      <c r="J16" s="10">
        <v>1</v>
      </c>
      <c r="K16" s="10" t="b">
        <f>FALSE()</f>
        <v>0</v>
      </c>
      <c r="L16" s="10"/>
      <c r="M16" s="10" t="s">
        <v>1187</v>
      </c>
      <c r="N16" s="10"/>
      <c r="O16" s="11" t="s">
        <v>1188</v>
      </c>
      <c r="P16" s="11"/>
      <c r="Q16" s="10"/>
    </row>
    <row r="17" ht="15" customHeight="1" spans="1:17" x14ac:dyDescent="0.25">
      <c r="A17" s="10" t="s">
        <v>684</v>
      </c>
      <c r="B17" s="11" t="s">
        <v>685</v>
      </c>
      <c r="C17" s="10" t="s">
        <v>241</v>
      </c>
      <c r="D17" s="10"/>
      <c r="E17" s="10"/>
      <c r="F17" s="10" t="s">
        <v>1184</v>
      </c>
      <c r="G17" s="10" t="s">
        <v>686</v>
      </c>
      <c r="H17" s="10" t="s">
        <v>1185</v>
      </c>
      <c r="I17" s="10" t="s">
        <v>1191</v>
      </c>
      <c r="J17" s="10">
        <v>1</v>
      </c>
      <c r="K17" s="10" t="b">
        <f>FALSE()</f>
        <v>0</v>
      </c>
      <c r="L17" s="10"/>
      <c r="M17" s="10" t="s">
        <v>1187</v>
      </c>
      <c r="N17" s="10"/>
      <c r="O17" s="11" t="s">
        <v>1188</v>
      </c>
      <c r="P17" s="11"/>
      <c r="Q17" s="10"/>
    </row>
    <row r="18" ht="15" customHeight="1" spans="1:17" x14ac:dyDescent="0.25">
      <c r="A18" s="10" t="s">
        <v>690</v>
      </c>
      <c r="B18" s="11" t="s">
        <v>691</v>
      </c>
      <c r="C18" s="10" t="s">
        <v>169</v>
      </c>
      <c r="D18" s="10"/>
      <c r="E18" s="10"/>
      <c r="F18" s="10" t="s">
        <v>1184</v>
      </c>
      <c r="G18" s="10" t="s">
        <v>239</v>
      </c>
      <c r="H18" s="10" t="s">
        <v>1185</v>
      </c>
      <c r="I18" s="10" t="s">
        <v>1186</v>
      </c>
      <c r="J18" s="10">
        <v>1</v>
      </c>
      <c r="K18" s="10" t="b">
        <f>FALSE()</f>
        <v>0</v>
      </c>
      <c r="L18" s="10"/>
      <c r="M18" s="10" t="s">
        <v>1187</v>
      </c>
      <c r="N18" s="10"/>
      <c r="O18" s="11" t="s">
        <v>1188</v>
      </c>
      <c r="P18" s="11"/>
      <c r="Q18" s="10"/>
    </row>
    <row r="19" ht="15" customHeight="1" spans="1:17" x14ac:dyDescent="0.25">
      <c r="A19" s="10" t="s">
        <v>1211</v>
      </c>
      <c r="B19" s="11" t="s">
        <v>1212</v>
      </c>
      <c r="C19" s="10" t="s">
        <v>169</v>
      </c>
      <c r="D19" s="10"/>
      <c r="E19" s="10"/>
      <c r="F19" s="10" t="s">
        <v>1184</v>
      </c>
      <c r="G19" s="10"/>
      <c r="H19" s="10" t="s">
        <v>1185</v>
      </c>
      <c r="I19" s="10" t="s">
        <v>1186</v>
      </c>
      <c r="J19" s="10">
        <v>1</v>
      </c>
      <c r="K19" s="10" t="b">
        <f>FALSE()</f>
        <v>0</v>
      </c>
      <c r="L19" s="10"/>
      <c r="M19" s="10" t="s">
        <v>1187</v>
      </c>
      <c r="N19" s="10"/>
      <c r="O19" s="11" t="s">
        <v>1188</v>
      </c>
      <c r="P19" s="11"/>
      <c r="Q19" s="10"/>
    </row>
    <row r="20" ht="15" customHeight="1" spans="1:17" x14ac:dyDescent="0.25">
      <c r="A20" s="10" t="s">
        <v>1213</v>
      </c>
      <c r="B20" s="11" t="s">
        <v>1214</v>
      </c>
      <c r="C20" s="10" t="s">
        <v>241</v>
      </c>
      <c r="D20" s="10"/>
      <c r="E20" s="10"/>
      <c r="F20" s="10" t="s">
        <v>1184</v>
      </c>
      <c r="G20" s="10"/>
      <c r="H20" s="10" t="s">
        <v>1185</v>
      </c>
      <c r="I20" s="10" t="s">
        <v>1186</v>
      </c>
      <c r="J20" s="10">
        <v>1</v>
      </c>
      <c r="K20" s="10" t="b">
        <f>FALSE()</f>
        <v>0</v>
      </c>
      <c r="L20" s="10"/>
      <c r="M20" s="10" t="s">
        <v>1187</v>
      </c>
      <c r="N20" s="10"/>
      <c r="O20" s="11" t="s">
        <v>1188</v>
      </c>
      <c r="P20" s="11"/>
      <c r="Q20" s="10"/>
    </row>
    <row r="21" ht="15" customHeight="1" spans="1:17" x14ac:dyDescent="0.25">
      <c r="A21" s="10" t="s">
        <v>1215</v>
      </c>
      <c r="B21" s="11" t="s">
        <v>1216</v>
      </c>
      <c r="C21" s="10" t="s">
        <v>241</v>
      </c>
      <c r="D21" s="10"/>
      <c r="E21" s="10"/>
      <c r="F21" s="10" t="s">
        <v>1184</v>
      </c>
      <c r="G21" s="10"/>
      <c r="H21" s="10" t="s">
        <v>1185</v>
      </c>
      <c r="I21" s="10" t="s">
        <v>1186</v>
      </c>
      <c r="J21" s="10">
        <v>1</v>
      </c>
      <c r="K21" s="10" t="b">
        <f>FALSE()</f>
        <v>0</v>
      </c>
      <c r="L21" s="10"/>
      <c r="M21" s="10" t="s">
        <v>1187</v>
      </c>
      <c r="N21" s="10"/>
      <c r="O21" s="11" t="s">
        <v>1188</v>
      </c>
      <c r="P21" s="11"/>
      <c r="Q21" s="10"/>
    </row>
    <row r="22" ht="15" customHeight="1" spans="1:17" x14ac:dyDescent="0.25">
      <c r="A22" s="10" t="s">
        <v>1217</v>
      </c>
      <c r="B22" s="11" t="s">
        <v>1218</v>
      </c>
      <c r="C22" s="10" t="s">
        <v>241</v>
      </c>
      <c r="D22" s="10"/>
      <c r="E22" s="10"/>
      <c r="F22" s="10" t="s">
        <v>1184</v>
      </c>
      <c r="G22" s="10"/>
      <c r="H22" s="10" t="s">
        <v>1185</v>
      </c>
      <c r="I22" s="10" t="s">
        <v>1186</v>
      </c>
      <c r="J22" s="10">
        <v>1</v>
      </c>
      <c r="K22" s="10" t="b">
        <f>FALSE()</f>
        <v>0</v>
      </c>
      <c r="L22" s="10"/>
      <c r="M22" s="10" t="s">
        <v>1187</v>
      </c>
      <c r="N22" s="10"/>
      <c r="O22" s="11" t="s">
        <v>1188</v>
      </c>
      <c r="P22" s="11"/>
      <c r="Q22" s="10"/>
    </row>
    <row r="23" ht="15" customHeight="1" spans="1:17" x14ac:dyDescent="0.25">
      <c r="A23" s="10" t="s">
        <v>1219</v>
      </c>
      <c r="B23" s="11" t="s">
        <v>1220</v>
      </c>
      <c r="C23" s="10" t="s">
        <v>241</v>
      </c>
      <c r="D23" s="10"/>
      <c r="E23" s="10"/>
      <c r="F23" s="10" t="s">
        <v>1184</v>
      </c>
      <c r="G23" s="10"/>
      <c r="H23" s="10" t="s">
        <v>1185</v>
      </c>
      <c r="I23" s="10" t="s">
        <v>1186</v>
      </c>
      <c r="J23" s="10">
        <v>1</v>
      </c>
      <c r="K23" s="10" t="b">
        <f>FALSE()</f>
        <v>0</v>
      </c>
      <c r="L23" s="10"/>
      <c r="M23" s="10" t="s">
        <v>1187</v>
      </c>
      <c r="N23" s="10"/>
      <c r="O23" s="11" t="s">
        <v>1188</v>
      </c>
      <c r="P23" s="11"/>
      <c r="Q23" s="10"/>
    </row>
    <row r="24" ht="15" customHeight="1" spans="1:17" x14ac:dyDescent="0.25">
      <c r="A24" s="10" t="s">
        <v>1221</v>
      </c>
      <c r="B24" s="11" t="s">
        <v>1222</v>
      </c>
      <c r="C24" s="10" t="s">
        <v>241</v>
      </c>
      <c r="D24" s="10"/>
      <c r="E24" s="10"/>
      <c r="F24" s="10" t="s">
        <v>1184</v>
      </c>
      <c r="G24" s="10"/>
      <c r="H24" s="10" t="s">
        <v>1185</v>
      </c>
      <c r="I24" s="10" t="s">
        <v>1186</v>
      </c>
      <c r="J24" s="10">
        <v>1</v>
      </c>
      <c r="K24" s="10" t="b">
        <f>FALSE()</f>
        <v>0</v>
      </c>
      <c r="L24" s="10"/>
      <c r="M24" s="10" t="s">
        <v>1187</v>
      </c>
      <c r="N24" s="10"/>
      <c r="O24" s="11" t="s">
        <v>1188</v>
      </c>
      <c r="P24" s="11"/>
      <c r="Q24" s="10"/>
    </row>
    <row r="25" ht="15" customHeight="1" spans="1:17" x14ac:dyDescent="0.25">
      <c r="A25" s="10" t="s">
        <v>695</v>
      </c>
      <c r="B25" s="11" t="s">
        <v>696</v>
      </c>
      <c r="C25" s="10" t="s">
        <v>241</v>
      </c>
      <c r="D25" s="10"/>
      <c r="E25" s="10"/>
      <c r="F25" s="10" t="s">
        <v>1184</v>
      </c>
      <c r="G25" s="10" t="s">
        <v>697</v>
      </c>
      <c r="H25" s="10" t="s">
        <v>1185</v>
      </c>
      <c r="I25" s="10" t="s">
        <v>1186</v>
      </c>
      <c r="J25" s="10">
        <v>1</v>
      </c>
      <c r="K25" s="10" t="b">
        <f>FALSE()</f>
        <v>0</v>
      </c>
      <c r="L25" s="10"/>
      <c r="M25" s="10" t="s">
        <v>1187</v>
      </c>
      <c r="N25" s="10"/>
      <c r="O25" s="11" t="s">
        <v>1188</v>
      </c>
      <c r="P25" s="11"/>
      <c r="Q25" s="10"/>
    </row>
    <row r="26" ht="15" customHeight="1" spans="1:17" x14ac:dyDescent="0.25">
      <c r="A26" s="10" t="s">
        <v>1223</v>
      </c>
      <c r="B26" s="11" t="s">
        <v>1224</v>
      </c>
      <c r="C26" s="10" t="s">
        <v>130</v>
      </c>
      <c r="D26" s="10"/>
      <c r="E26" s="10"/>
      <c r="F26" s="10" t="s">
        <v>1184</v>
      </c>
      <c r="G26" s="10"/>
      <c r="H26" s="10" t="s">
        <v>1185</v>
      </c>
      <c r="I26" s="10" t="s">
        <v>1186</v>
      </c>
      <c r="J26" s="10">
        <v>1</v>
      </c>
      <c r="K26" s="10" t="b">
        <f>FALSE()</f>
        <v>0</v>
      </c>
      <c r="L26" s="10"/>
      <c r="M26" s="10" t="s">
        <v>1187</v>
      </c>
      <c r="N26" s="10"/>
      <c r="O26" s="11" t="s">
        <v>1188</v>
      </c>
      <c r="P26" s="11"/>
      <c r="Q26" s="10"/>
    </row>
    <row r="27" ht="15" customHeight="1" spans="1:17" x14ac:dyDescent="0.25">
      <c r="A27" s="10" t="s">
        <v>1225</v>
      </c>
      <c r="B27" s="11" t="s">
        <v>1226</v>
      </c>
      <c r="C27" s="10" t="s">
        <v>130</v>
      </c>
      <c r="D27" s="10"/>
      <c r="E27" s="10"/>
      <c r="F27" s="10" t="s">
        <v>1184</v>
      </c>
      <c r="G27" s="10"/>
      <c r="H27" s="10" t="s">
        <v>1185</v>
      </c>
      <c r="I27" s="10" t="s">
        <v>1186</v>
      </c>
      <c r="J27" s="10">
        <v>1</v>
      </c>
      <c r="K27" s="10" t="b">
        <f>FALSE()</f>
        <v>0</v>
      </c>
      <c r="L27" s="10"/>
      <c r="M27" s="10" t="s">
        <v>1187</v>
      </c>
      <c r="N27" s="10"/>
      <c r="O27" s="11" t="s">
        <v>1188</v>
      </c>
      <c r="P27" s="11"/>
      <c r="Q27" s="10"/>
    </row>
    <row r="28" ht="15" customHeight="1" spans="1:17" x14ac:dyDescent="0.25">
      <c r="A28" s="10" t="s">
        <v>1227</v>
      </c>
      <c r="B28" s="11" t="s">
        <v>1228</v>
      </c>
      <c r="C28" s="10" t="s">
        <v>241</v>
      </c>
      <c r="D28" s="10"/>
      <c r="E28" s="10"/>
      <c r="F28" s="10" t="s">
        <v>1184</v>
      </c>
      <c r="G28" s="10"/>
      <c r="H28" s="10" t="s">
        <v>1185</v>
      </c>
      <c r="I28" s="10" t="s">
        <v>1186</v>
      </c>
      <c r="J28" s="10">
        <v>1</v>
      </c>
      <c r="K28" s="10" t="b">
        <f>FALSE()</f>
        <v>0</v>
      </c>
      <c r="L28" s="10"/>
      <c r="M28" s="10" t="s">
        <v>1187</v>
      </c>
      <c r="N28" s="10"/>
      <c r="O28" s="11" t="s">
        <v>1188</v>
      </c>
      <c r="P28" s="11"/>
      <c r="Q28" s="10"/>
    </row>
    <row r="29" ht="15" customHeight="1" spans="1:17" x14ac:dyDescent="0.25">
      <c r="A29" s="10" t="s">
        <v>1229</v>
      </c>
      <c r="B29" s="11" t="s">
        <v>1230</v>
      </c>
      <c r="C29" s="10" t="s">
        <v>241</v>
      </c>
      <c r="D29" s="10"/>
      <c r="E29" s="10"/>
      <c r="F29" s="10" t="s">
        <v>1184</v>
      </c>
      <c r="G29" s="10"/>
      <c r="H29" s="10" t="s">
        <v>1185</v>
      </c>
      <c r="I29" s="10" t="s">
        <v>1186</v>
      </c>
      <c r="J29" s="10">
        <v>1</v>
      </c>
      <c r="K29" s="10" t="b">
        <f>FALSE()</f>
        <v>0</v>
      </c>
      <c r="L29" s="10"/>
      <c r="M29" s="10" t="s">
        <v>1187</v>
      </c>
      <c r="N29" s="10"/>
      <c r="O29" s="11" t="s">
        <v>1188</v>
      </c>
      <c r="P29" s="11"/>
      <c r="Q29" s="10"/>
    </row>
    <row r="30" ht="15" customHeight="1" spans="1:17" x14ac:dyDescent="0.25">
      <c r="A30" s="10" t="s">
        <v>1231</v>
      </c>
      <c r="B30" s="11" t="s">
        <v>1232</v>
      </c>
      <c r="C30" s="10" t="s">
        <v>241</v>
      </c>
      <c r="D30" s="10"/>
      <c r="E30" s="10"/>
      <c r="F30" s="10" t="s">
        <v>1184</v>
      </c>
      <c r="G30" s="10"/>
      <c r="H30" s="10" t="s">
        <v>1185</v>
      </c>
      <c r="I30" s="10" t="s">
        <v>1186</v>
      </c>
      <c r="J30" s="10">
        <v>1</v>
      </c>
      <c r="K30" s="10" t="b">
        <f>FALSE()</f>
        <v>0</v>
      </c>
      <c r="L30" s="10"/>
      <c r="M30" s="10" t="s">
        <v>1187</v>
      </c>
      <c r="N30" s="10"/>
      <c r="O30" s="11" t="s">
        <v>1188</v>
      </c>
      <c r="P30" s="11"/>
      <c r="Q30" s="10"/>
    </row>
    <row r="31" ht="15" customHeight="1" spans="1:17" x14ac:dyDescent="0.25">
      <c r="A31" s="10" t="s">
        <v>1233</v>
      </c>
      <c r="B31" s="11" t="s">
        <v>1234</v>
      </c>
      <c r="C31" s="10" t="s">
        <v>241</v>
      </c>
      <c r="D31" s="10"/>
      <c r="E31" s="10"/>
      <c r="F31" s="10" t="s">
        <v>1184</v>
      </c>
      <c r="G31" s="10"/>
      <c r="H31" s="10" t="s">
        <v>1185</v>
      </c>
      <c r="I31" s="10" t="s">
        <v>1186</v>
      </c>
      <c r="J31" s="10">
        <v>1</v>
      </c>
      <c r="K31" s="10" t="b">
        <f>FALSE()</f>
        <v>0</v>
      </c>
      <c r="L31" s="10"/>
      <c r="M31" s="10" t="s">
        <v>1187</v>
      </c>
      <c r="N31" s="10"/>
      <c r="O31" s="11" t="s">
        <v>1188</v>
      </c>
      <c r="P31" s="11"/>
      <c r="Q31" s="10"/>
    </row>
    <row r="32" ht="15" customHeight="1" spans="1:17" x14ac:dyDescent="0.25">
      <c r="A32" s="10" t="s">
        <v>1235</v>
      </c>
      <c r="B32" s="11" t="s">
        <v>1236</v>
      </c>
      <c r="C32" s="10" t="s">
        <v>241</v>
      </c>
      <c r="D32" s="10"/>
      <c r="E32" s="10"/>
      <c r="F32" s="10" t="s">
        <v>1184</v>
      </c>
      <c r="G32" s="10"/>
      <c r="H32" s="10" t="s">
        <v>1185</v>
      </c>
      <c r="I32" s="10" t="s">
        <v>1186</v>
      </c>
      <c r="J32" s="10">
        <v>1</v>
      </c>
      <c r="K32" s="10" t="b">
        <f>FALSE()</f>
        <v>0</v>
      </c>
      <c r="L32" s="10"/>
      <c r="M32" s="10" t="s">
        <v>1187</v>
      </c>
      <c r="N32" s="10"/>
      <c r="O32" s="11" t="s">
        <v>1188</v>
      </c>
      <c r="P32" s="11"/>
      <c r="Q32" s="10"/>
    </row>
    <row r="33" ht="15" customHeight="1" spans="1:17" x14ac:dyDescent="0.25">
      <c r="A33" s="10" t="s">
        <v>1237</v>
      </c>
      <c r="B33" s="11" t="s">
        <v>1238</v>
      </c>
      <c r="C33" s="10" t="s">
        <v>241</v>
      </c>
      <c r="D33" s="10"/>
      <c r="E33" s="10"/>
      <c r="F33" s="10" t="s">
        <v>1184</v>
      </c>
      <c r="G33" s="10"/>
      <c r="H33" s="10" t="s">
        <v>1185</v>
      </c>
      <c r="I33" s="10" t="s">
        <v>1186</v>
      </c>
      <c r="J33" s="10">
        <v>1</v>
      </c>
      <c r="K33" s="10" t="b">
        <f>FALSE()</f>
        <v>0</v>
      </c>
      <c r="L33" s="10"/>
      <c r="M33" s="10" t="s">
        <v>1187</v>
      </c>
      <c r="N33" s="10"/>
      <c r="O33" s="11" t="s">
        <v>1188</v>
      </c>
      <c r="P33" s="11"/>
      <c r="Q33" s="10"/>
    </row>
    <row r="34" ht="15" customHeight="1" spans="1:17" x14ac:dyDescent="0.25">
      <c r="A34" s="10" t="s">
        <v>1239</v>
      </c>
      <c r="B34" s="11" t="s">
        <v>1240</v>
      </c>
      <c r="C34" s="10" t="s">
        <v>241</v>
      </c>
      <c r="D34" s="10"/>
      <c r="E34" s="10"/>
      <c r="F34" s="10" t="s">
        <v>1184</v>
      </c>
      <c r="G34" s="10"/>
      <c r="H34" s="10" t="s">
        <v>1185</v>
      </c>
      <c r="I34" s="10" t="s">
        <v>1186</v>
      </c>
      <c r="J34" s="10">
        <v>1</v>
      </c>
      <c r="K34" s="10" t="b">
        <f>FALSE()</f>
        <v>0</v>
      </c>
      <c r="L34" s="10"/>
      <c r="M34" s="10" t="s">
        <v>1187</v>
      </c>
      <c r="N34" s="10"/>
      <c r="O34" s="11" t="s">
        <v>1188</v>
      </c>
      <c r="P34" s="11"/>
      <c r="Q34" s="10"/>
    </row>
    <row r="35" ht="15" customHeight="1" spans="1:17" x14ac:dyDescent="0.25">
      <c r="A35" s="10" t="s">
        <v>1241</v>
      </c>
      <c r="B35" s="11" t="s">
        <v>1242</v>
      </c>
      <c r="C35" s="10" t="s">
        <v>241</v>
      </c>
      <c r="D35" s="10"/>
      <c r="E35" s="10"/>
      <c r="F35" s="10" t="s">
        <v>1184</v>
      </c>
      <c r="G35" s="10"/>
      <c r="H35" s="10" t="s">
        <v>1185</v>
      </c>
      <c r="I35" s="10" t="s">
        <v>1186</v>
      </c>
      <c r="J35" s="10">
        <v>1</v>
      </c>
      <c r="K35" s="10" t="b">
        <f>FALSE()</f>
        <v>0</v>
      </c>
      <c r="L35" s="10"/>
      <c r="M35" s="10" t="s">
        <v>1187</v>
      </c>
      <c r="N35" s="10"/>
      <c r="O35" s="11" t="s">
        <v>1188</v>
      </c>
      <c r="P35" s="11"/>
      <c r="Q35" s="10"/>
    </row>
    <row r="36" ht="15" customHeight="1" spans="1:17" x14ac:dyDescent="0.25">
      <c r="A36" s="10" t="s">
        <v>1243</v>
      </c>
      <c r="B36" s="11" t="s">
        <v>1244</v>
      </c>
      <c r="C36" s="10" t="s">
        <v>241</v>
      </c>
      <c r="D36" s="10"/>
      <c r="E36" s="10"/>
      <c r="F36" s="10" t="s">
        <v>1184</v>
      </c>
      <c r="G36" s="10"/>
      <c r="H36" s="10" t="s">
        <v>1185</v>
      </c>
      <c r="I36" s="10" t="s">
        <v>1186</v>
      </c>
      <c r="J36" s="10">
        <v>1</v>
      </c>
      <c r="K36" s="10" t="b">
        <f>FALSE()</f>
        <v>0</v>
      </c>
      <c r="L36" s="10"/>
      <c r="M36" s="10" t="s">
        <v>1187</v>
      </c>
      <c r="N36" s="10"/>
      <c r="O36" s="11" t="s">
        <v>1188</v>
      </c>
      <c r="P36" s="11"/>
      <c r="Q36" s="10"/>
    </row>
    <row r="37" ht="15" customHeight="1" spans="1:17" x14ac:dyDescent="0.25">
      <c r="A37" s="10" t="s">
        <v>1245</v>
      </c>
      <c r="B37" s="11" t="s">
        <v>1246</v>
      </c>
      <c r="C37" s="10" t="s">
        <v>241</v>
      </c>
      <c r="D37" s="10"/>
      <c r="E37" s="10"/>
      <c r="F37" s="10" t="s">
        <v>1184</v>
      </c>
      <c r="G37" s="10"/>
      <c r="H37" s="10" t="s">
        <v>1185</v>
      </c>
      <c r="I37" s="10" t="s">
        <v>1186</v>
      </c>
      <c r="J37" s="10">
        <v>1</v>
      </c>
      <c r="K37" s="10" t="b">
        <f>FALSE()</f>
        <v>0</v>
      </c>
      <c r="L37" s="10"/>
      <c r="M37" s="10" t="s">
        <v>1187</v>
      </c>
      <c r="N37" s="10"/>
      <c r="O37" s="11" t="s">
        <v>1188</v>
      </c>
      <c r="P37" s="11"/>
      <c r="Q37" s="10"/>
    </row>
    <row r="38" ht="15" customHeight="1" spans="1:17" x14ac:dyDescent="0.25">
      <c r="A38" s="10" t="s">
        <v>1247</v>
      </c>
      <c r="B38" s="11" t="s">
        <v>1248</v>
      </c>
      <c r="C38" s="10" t="s">
        <v>241</v>
      </c>
      <c r="D38" s="10"/>
      <c r="E38" s="10"/>
      <c r="F38" s="10" t="s">
        <v>1184</v>
      </c>
      <c r="G38" s="10"/>
      <c r="H38" s="10" t="s">
        <v>1185</v>
      </c>
      <c r="I38" s="10" t="s">
        <v>1186</v>
      </c>
      <c r="J38" s="10">
        <v>1</v>
      </c>
      <c r="K38" s="10" t="b">
        <f>FALSE()</f>
        <v>0</v>
      </c>
      <c r="L38" s="10"/>
      <c r="M38" s="10" t="s">
        <v>1187</v>
      </c>
      <c r="N38" s="10"/>
      <c r="O38" s="11" t="s">
        <v>1188</v>
      </c>
      <c r="P38" s="11"/>
      <c r="Q38" s="10"/>
    </row>
    <row r="39" ht="15" customHeight="1" spans="1:17" x14ac:dyDescent="0.25">
      <c r="A39" s="10" t="s">
        <v>1249</v>
      </c>
      <c r="B39" s="11" t="s">
        <v>1250</v>
      </c>
      <c r="C39" s="10" t="s">
        <v>241</v>
      </c>
      <c r="D39" s="10"/>
      <c r="E39" s="10"/>
      <c r="F39" s="10" t="s">
        <v>1184</v>
      </c>
      <c r="G39" s="10"/>
      <c r="H39" s="10" t="s">
        <v>1185</v>
      </c>
      <c r="I39" s="10" t="s">
        <v>1186</v>
      </c>
      <c r="J39" s="10">
        <v>1</v>
      </c>
      <c r="K39" s="10" t="b">
        <f>FALSE()</f>
        <v>0</v>
      </c>
      <c r="L39" s="10"/>
      <c r="M39" s="10" t="s">
        <v>1187</v>
      </c>
      <c r="N39" s="10"/>
      <c r="O39" s="11" t="s">
        <v>1188</v>
      </c>
      <c r="P39" s="11"/>
      <c r="Q39" s="10"/>
    </row>
    <row r="40" ht="15" customHeight="1" spans="1:17" x14ac:dyDescent="0.25">
      <c r="A40" s="10" t="s">
        <v>1251</v>
      </c>
      <c r="B40" s="11" t="s">
        <v>1252</v>
      </c>
      <c r="C40" s="10" t="s">
        <v>241</v>
      </c>
      <c r="D40" s="10"/>
      <c r="E40" s="10"/>
      <c r="F40" s="10" t="s">
        <v>1184</v>
      </c>
      <c r="G40" s="10"/>
      <c r="H40" s="10" t="s">
        <v>1185</v>
      </c>
      <c r="I40" s="10" t="s">
        <v>1186</v>
      </c>
      <c r="J40" s="10">
        <v>1</v>
      </c>
      <c r="K40" s="10" t="b">
        <f>FALSE()</f>
        <v>0</v>
      </c>
      <c r="L40" s="10"/>
      <c r="M40" s="10" t="s">
        <v>1187</v>
      </c>
      <c r="N40" s="10"/>
      <c r="O40" s="11" t="s">
        <v>1188</v>
      </c>
      <c r="P40" s="11"/>
      <c r="Q40" s="10"/>
    </row>
    <row r="41" ht="15" customHeight="1" spans="1:17" x14ac:dyDescent="0.25">
      <c r="A41" s="10" t="s">
        <v>1253</v>
      </c>
      <c r="B41" s="11" t="s">
        <v>1254</v>
      </c>
      <c r="C41" s="10" t="s">
        <v>241</v>
      </c>
      <c r="D41" s="10"/>
      <c r="E41" s="10"/>
      <c r="F41" s="10" t="s">
        <v>1184</v>
      </c>
      <c r="G41" s="10"/>
      <c r="H41" s="10" t="s">
        <v>1185</v>
      </c>
      <c r="I41" s="10" t="s">
        <v>1186</v>
      </c>
      <c r="J41" s="10">
        <v>1</v>
      </c>
      <c r="K41" s="10" t="b">
        <f>FALSE()</f>
        <v>0</v>
      </c>
      <c r="L41" s="10"/>
      <c r="M41" s="10" t="s">
        <v>1187</v>
      </c>
      <c r="N41" s="10"/>
      <c r="O41" s="11" t="s">
        <v>1188</v>
      </c>
      <c r="P41" s="11"/>
      <c r="Q41" s="10"/>
    </row>
    <row r="42" ht="15" customHeight="1" spans="1:17" x14ac:dyDescent="0.25">
      <c r="A42" s="10" t="s">
        <v>1255</v>
      </c>
      <c r="B42" s="11" t="s">
        <v>1256</v>
      </c>
      <c r="C42" s="10" t="s">
        <v>241</v>
      </c>
      <c r="D42" s="10"/>
      <c r="E42" s="10"/>
      <c r="F42" s="10" t="s">
        <v>1184</v>
      </c>
      <c r="G42" s="10"/>
      <c r="H42" s="10" t="s">
        <v>1185</v>
      </c>
      <c r="I42" s="10" t="s">
        <v>1186</v>
      </c>
      <c r="J42" s="10">
        <v>1</v>
      </c>
      <c r="K42" s="10" t="b">
        <f>FALSE()</f>
        <v>0</v>
      </c>
      <c r="L42" s="10"/>
      <c r="M42" s="10" t="s">
        <v>1187</v>
      </c>
      <c r="N42" s="10"/>
      <c r="O42" s="11" t="s">
        <v>1188</v>
      </c>
      <c r="P42" s="11"/>
      <c r="Q42" s="10"/>
    </row>
    <row r="43" ht="15" customHeight="1" spans="1:17" x14ac:dyDescent="0.25">
      <c r="A43" s="10" t="s">
        <v>1257</v>
      </c>
      <c r="B43" s="11" t="s">
        <v>1258</v>
      </c>
      <c r="C43" s="10" t="s">
        <v>241</v>
      </c>
      <c r="D43" s="10"/>
      <c r="E43" s="10"/>
      <c r="F43" s="10" t="s">
        <v>1184</v>
      </c>
      <c r="G43" s="10"/>
      <c r="H43" s="10" t="s">
        <v>1185</v>
      </c>
      <c r="I43" s="10" t="s">
        <v>1186</v>
      </c>
      <c r="J43" s="10">
        <v>1</v>
      </c>
      <c r="K43" s="10" t="b">
        <f>FALSE()</f>
        <v>0</v>
      </c>
      <c r="L43" s="10"/>
      <c r="M43" s="10" t="s">
        <v>1187</v>
      </c>
      <c r="N43" s="10"/>
      <c r="O43" s="11" t="s">
        <v>1188</v>
      </c>
      <c r="P43" s="11"/>
      <c r="Q43" s="10"/>
    </row>
    <row r="44" ht="15" customHeight="1" spans="1:17" x14ac:dyDescent="0.25">
      <c r="A44" s="10" t="s">
        <v>1259</v>
      </c>
      <c r="B44" s="11" t="s">
        <v>1260</v>
      </c>
      <c r="C44" s="10" t="s">
        <v>241</v>
      </c>
      <c r="D44" s="10"/>
      <c r="E44" s="10"/>
      <c r="F44" s="10" t="s">
        <v>1184</v>
      </c>
      <c r="G44" s="10"/>
      <c r="H44" s="10" t="s">
        <v>1185</v>
      </c>
      <c r="I44" s="10" t="s">
        <v>1186</v>
      </c>
      <c r="J44" s="10">
        <v>1</v>
      </c>
      <c r="K44" s="10" t="b">
        <f>FALSE()</f>
        <v>0</v>
      </c>
      <c r="L44" s="10"/>
      <c r="M44" s="10" t="s">
        <v>1187</v>
      </c>
      <c r="N44" s="10"/>
      <c r="O44" s="11" t="s">
        <v>1188</v>
      </c>
      <c r="P44" s="11"/>
      <c r="Q44" s="10"/>
    </row>
    <row r="45" ht="15" customHeight="1" spans="1:17" x14ac:dyDescent="0.25">
      <c r="A45" s="10" t="s">
        <v>1261</v>
      </c>
      <c r="B45" s="11" t="s">
        <v>1262</v>
      </c>
      <c r="C45" s="10" t="s">
        <v>241</v>
      </c>
      <c r="D45" s="10"/>
      <c r="E45" s="10"/>
      <c r="F45" s="10" t="s">
        <v>1184</v>
      </c>
      <c r="G45" s="10"/>
      <c r="H45" s="10" t="s">
        <v>1185</v>
      </c>
      <c r="I45" s="10" t="s">
        <v>1186</v>
      </c>
      <c r="J45" s="10">
        <v>1</v>
      </c>
      <c r="K45" s="10" t="b">
        <f>FALSE()</f>
        <v>0</v>
      </c>
      <c r="L45" s="10"/>
      <c r="M45" s="10" t="s">
        <v>1187</v>
      </c>
      <c r="N45" s="10"/>
      <c r="O45" s="11" t="s">
        <v>1188</v>
      </c>
      <c r="P45" s="11"/>
      <c r="Q45" s="10"/>
    </row>
    <row r="46" ht="15" customHeight="1" spans="1:17" x14ac:dyDescent="0.25">
      <c r="A46" s="10" t="s">
        <v>1263</v>
      </c>
      <c r="B46" s="11" t="s">
        <v>1264</v>
      </c>
      <c r="C46" s="10" t="s">
        <v>241</v>
      </c>
      <c r="D46" s="10"/>
      <c r="E46" s="10"/>
      <c r="F46" s="10" t="s">
        <v>1184</v>
      </c>
      <c r="G46" s="10"/>
      <c r="H46" s="10" t="s">
        <v>1185</v>
      </c>
      <c r="I46" s="10" t="s">
        <v>1186</v>
      </c>
      <c r="J46" s="10">
        <v>1</v>
      </c>
      <c r="K46" s="10" t="b">
        <f>FALSE()</f>
        <v>0</v>
      </c>
      <c r="L46" s="10"/>
      <c r="M46" s="10" t="s">
        <v>1187</v>
      </c>
      <c r="N46" s="10"/>
      <c r="O46" s="11" t="s">
        <v>1188</v>
      </c>
      <c r="P46" s="11"/>
      <c r="Q46" s="10"/>
    </row>
    <row r="47" ht="15" customHeight="1" spans="1:17" x14ac:dyDescent="0.25">
      <c r="A47" s="10" t="s">
        <v>1265</v>
      </c>
      <c r="B47" s="11" t="s">
        <v>1266</v>
      </c>
      <c r="C47" s="10" t="s">
        <v>241</v>
      </c>
      <c r="D47" s="10"/>
      <c r="E47" s="10"/>
      <c r="F47" s="10" t="s">
        <v>1184</v>
      </c>
      <c r="G47" s="10"/>
      <c r="H47" s="10" t="s">
        <v>1185</v>
      </c>
      <c r="I47" s="10" t="s">
        <v>1186</v>
      </c>
      <c r="J47" s="10">
        <v>1</v>
      </c>
      <c r="K47" s="10" t="b">
        <f>FALSE()</f>
        <v>0</v>
      </c>
      <c r="L47" s="10"/>
      <c r="M47" s="10" t="s">
        <v>1187</v>
      </c>
      <c r="N47" s="10"/>
      <c r="O47" s="11" t="s">
        <v>1188</v>
      </c>
      <c r="P47" s="11"/>
      <c r="Q47" s="10"/>
    </row>
    <row r="48" ht="15" customHeight="1" spans="1:17" x14ac:dyDescent="0.25">
      <c r="A48" s="10" t="s">
        <v>1267</v>
      </c>
      <c r="B48" s="11" t="s">
        <v>1268</v>
      </c>
      <c r="C48" s="10" t="s">
        <v>241</v>
      </c>
      <c r="D48" s="10"/>
      <c r="E48" s="10"/>
      <c r="F48" s="10" t="s">
        <v>1184</v>
      </c>
      <c r="G48" s="10"/>
      <c r="H48" s="10" t="s">
        <v>1185</v>
      </c>
      <c r="I48" s="10" t="s">
        <v>1186</v>
      </c>
      <c r="J48" s="10">
        <v>1</v>
      </c>
      <c r="K48" s="10" t="b">
        <f>FALSE()</f>
        <v>0</v>
      </c>
      <c r="L48" s="10"/>
      <c r="M48" s="10" t="s">
        <v>1187</v>
      </c>
      <c r="N48" s="10"/>
      <c r="O48" s="11" t="s">
        <v>1188</v>
      </c>
      <c r="P48" s="11"/>
      <c r="Q48" s="10"/>
    </row>
    <row r="49" ht="15" customHeight="1" spans="1:17" x14ac:dyDescent="0.25">
      <c r="A49" s="10" t="s">
        <v>1269</v>
      </c>
      <c r="B49" s="11" t="s">
        <v>1270</v>
      </c>
      <c r="C49" s="10" t="s">
        <v>241</v>
      </c>
      <c r="D49" s="10"/>
      <c r="E49" s="10"/>
      <c r="F49" s="10" t="s">
        <v>1184</v>
      </c>
      <c r="G49" s="10"/>
      <c r="H49" s="10" t="s">
        <v>1185</v>
      </c>
      <c r="I49" s="10" t="s">
        <v>1186</v>
      </c>
      <c r="J49" s="10">
        <v>1</v>
      </c>
      <c r="K49" s="10" t="b">
        <f>FALSE()</f>
        <v>0</v>
      </c>
      <c r="L49" s="10"/>
      <c r="M49" s="10" t="s">
        <v>1187</v>
      </c>
      <c r="N49" s="10"/>
      <c r="O49" s="11" t="s">
        <v>1188</v>
      </c>
      <c r="P49" s="11"/>
      <c r="Q49" s="10"/>
    </row>
    <row r="50" ht="15" customHeight="1" spans="1:17" x14ac:dyDescent="0.25">
      <c r="A50" s="10" t="s">
        <v>1271</v>
      </c>
      <c r="B50" s="11" t="s">
        <v>1272</v>
      </c>
      <c r="C50" s="10" t="s">
        <v>241</v>
      </c>
      <c r="D50" s="10"/>
      <c r="E50" s="10"/>
      <c r="F50" s="10" t="s">
        <v>1184</v>
      </c>
      <c r="G50" s="10"/>
      <c r="H50" s="10" t="s">
        <v>1185</v>
      </c>
      <c r="I50" s="10" t="s">
        <v>1186</v>
      </c>
      <c r="J50" s="10">
        <v>1</v>
      </c>
      <c r="K50" s="10" t="b">
        <f>FALSE()</f>
        <v>0</v>
      </c>
      <c r="L50" s="10"/>
      <c r="M50" s="10" t="s">
        <v>1187</v>
      </c>
      <c r="N50" s="10"/>
      <c r="O50" s="11" t="s">
        <v>1188</v>
      </c>
      <c r="P50" s="11"/>
      <c r="Q50" s="10"/>
    </row>
    <row r="51" ht="15" customHeight="1" spans="1:17" x14ac:dyDescent="0.25">
      <c r="A51" s="10" t="s">
        <v>700</v>
      </c>
      <c r="B51" s="11" t="s">
        <v>701</v>
      </c>
      <c r="C51" s="10" t="s">
        <v>241</v>
      </c>
      <c r="D51" s="10"/>
      <c r="E51" s="10"/>
      <c r="F51" s="10" t="s">
        <v>1184</v>
      </c>
      <c r="G51" s="10" t="s">
        <v>117</v>
      </c>
      <c r="H51" s="10" t="s">
        <v>1185</v>
      </c>
      <c r="I51" s="10" t="s">
        <v>1186</v>
      </c>
      <c r="J51" s="10">
        <v>1</v>
      </c>
      <c r="K51" s="10" t="b">
        <f>FALSE()</f>
        <v>0</v>
      </c>
      <c r="L51" s="10"/>
      <c r="M51" s="10" t="s">
        <v>1187</v>
      </c>
      <c r="N51" s="10"/>
      <c r="O51" s="11" t="s">
        <v>1188</v>
      </c>
      <c r="P51" s="11"/>
      <c r="Q51" s="10"/>
    </row>
    <row r="52" ht="15" customHeight="1" spans="1:17" x14ac:dyDescent="0.25">
      <c r="A52" s="10" t="s">
        <v>1273</v>
      </c>
      <c r="B52" s="11" t="s">
        <v>1274</v>
      </c>
      <c r="C52" s="10" t="s">
        <v>241</v>
      </c>
      <c r="D52" s="10"/>
      <c r="E52" s="10"/>
      <c r="F52" s="10" t="s">
        <v>1184</v>
      </c>
      <c r="G52" s="10"/>
      <c r="H52" s="10" t="s">
        <v>1185</v>
      </c>
      <c r="I52" s="10" t="s">
        <v>1186</v>
      </c>
      <c r="J52" s="10">
        <v>1</v>
      </c>
      <c r="K52" s="10" t="b">
        <f>FALSE()</f>
        <v>0</v>
      </c>
      <c r="L52" s="10"/>
      <c r="M52" s="10" t="s">
        <v>1187</v>
      </c>
      <c r="N52" s="10"/>
      <c r="O52" s="11" t="s">
        <v>1188</v>
      </c>
      <c r="P52" s="11"/>
      <c r="Q52" s="10"/>
    </row>
    <row r="53" ht="15" customHeight="1" spans="1:17" x14ac:dyDescent="0.25">
      <c r="A53" s="10" t="s">
        <v>1275</v>
      </c>
      <c r="B53" s="11" t="s">
        <v>1276</v>
      </c>
      <c r="C53" s="10" t="s">
        <v>241</v>
      </c>
      <c r="D53" s="10"/>
      <c r="E53" s="10"/>
      <c r="F53" s="10" t="s">
        <v>1184</v>
      </c>
      <c r="G53" s="10"/>
      <c r="H53" s="10" t="s">
        <v>1185</v>
      </c>
      <c r="I53" s="10" t="s">
        <v>1186</v>
      </c>
      <c r="J53" s="10">
        <v>1</v>
      </c>
      <c r="K53" s="10" t="b">
        <f>FALSE()</f>
        <v>0</v>
      </c>
      <c r="L53" s="10"/>
      <c r="M53" s="10" t="s">
        <v>1187</v>
      </c>
      <c r="N53" s="10"/>
      <c r="O53" s="11" t="s">
        <v>1188</v>
      </c>
      <c r="P53" s="11"/>
      <c r="Q53" s="10"/>
    </row>
    <row r="54" ht="15" customHeight="1" spans="1:17" x14ac:dyDescent="0.25">
      <c r="A54" s="10" t="s">
        <v>704</v>
      </c>
      <c r="B54" s="11" t="s">
        <v>705</v>
      </c>
      <c r="C54" s="10" t="s">
        <v>241</v>
      </c>
      <c r="D54" s="10"/>
      <c r="E54" s="10"/>
      <c r="F54" s="10" t="s">
        <v>1184</v>
      </c>
      <c r="G54" s="10" t="s">
        <v>706</v>
      </c>
      <c r="H54" s="10" t="s">
        <v>1185</v>
      </c>
      <c r="I54" s="10" t="s">
        <v>1186</v>
      </c>
      <c r="J54" s="10">
        <v>1</v>
      </c>
      <c r="K54" s="10" t="b">
        <f>FALSE()</f>
        <v>0</v>
      </c>
      <c r="L54" s="10"/>
      <c r="M54" s="10" t="s">
        <v>1187</v>
      </c>
      <c r="N54" s="10"/>
      <c r="O54" s="11" t="s">
        <v>1188</v>
      </c>
      <c r="P54" s="11"/>
      <c r="Q54" s="10"/>
    </row>
    <row r="55" ht="15" customHeight="1" spans="1:17" x14ac:dyDescent="0.25">
      <c r="A55" s="10" t="s">
        <v>709</v>
      </c>
      <c r="B55" s="11" t="s">
        <v>710</v>
      </c>
      <c r="C55" s="10" t="s">
        <v>241</v>
      </c>
      <c r="D55" s="10"/>
      <c r="E55" s="10"/>
      <c r="F55" s="10" t="s">
        <v>1184</v>
      </c>
      <c r="G55" s="10" t="s">
        <v>167</v>
      </c>
      <c r="H55" s="10" t="s">
        <v>1185</v>
      </c>
      <c r="I55" s="10" t="s">
        <v>1194</v>
      </c>
      <c r="J55" s="10">
        <v>1</v>
      </c>
      <c r="K55" s="10" t="b">
        <f>FALSE()</f>
        <v>0</v>
      </c>
      <c r="L55" s="10"/>
      <c r="M55" s="10" t="s">
        <v>1187</v>
      </c>
      <c r="N55" s="10"/>
      <c r="O55" s="11" t="s">
        <v>1188</v>
      </c>
      <c r="P55" s="11"/>
      <c r="Q55" s="10"/>
    </row>
    <row r="56" ht="15" customHeight="1" spans="1:17" x14ac:dyDescent="0.25">
      <c r="A56" s="10" t="s">
        <v>1277</v>
      </c>
      <c r="B56" s="11" t="s">
        <v>1278</v>
      </c>
      <c r="C56" s="10" t="s">
        <v>241</v>
      </c>
      <c r="D56" s="10"/>
      <c r="E56" s="10"/>
      <c r="F56" s="10" t="s">
        <v>1184</v>
      </c>
      <c r="G56" s="10"/>
      <c r="H56" s="10" t="s">
        <v>1185</v>
      </c>
      <c r="I56" s="10" t="s">
        <v>1191</v>
      </c>
      <c r="J56" s="10">
        <v>1</v>
      </c>
      <c r="K56" s="10" t="b">
        <f>FALSE()</f>
        <v>0</v>
      </c>
      <c r="L56" s="10"/>
      <c r="M56" s="10" t="s">
        <v>1187</v>
      </c>
      <c r="N56" s="10"/>
      <c r="O56" s="11" t="s">
        <v>1188</v>
      </c>
      <c r="P56" s="11"/>
      <c r="Q56" s="10"/>
    </row>
    <row r="57" ht="15" customHeight="1" spans="1:17" x14ac:dyDescent="0.25">
      <c r="A57" s="10" t="s">
        <v>713</v>
      </c>
      <c r="B57" s="11" t="s">
        <v>714</v>
      </c>
      <c r="C57" s="10" t="s">
        <v>241</v>
      </c>
      <c r="D57" s="10"/>
      <c r="E57" s="10"/>
      <c r="F57" s="10" t="s">
        <v>1184</v>
      </c>
      <c r="G57" s="10" t="s">
        <v>139</v>
      </c>
      <c r="H57" s="10" t="s">
        <v>1185</v>
      </c>
      <c r="I57" s="10" t="s">
        <v>1191</v>
      </c>
      <c r="J57" s="10">
        <v>1</v>
      </c>
      <c r="K57" s="10" t="b">
        <f>FALSE()</f>
        <v>0</v>
      </c>
      <c r="L57" s="10"/>
      <c r="M57" s="10" t="s">
        <v>1187</v>
      </c>
      <c r="N57" s="10"/>
      <c r="O57" s="11" t="s">
        <v>1188</v>
      </c>
      <c r="P57" s="11"/>
      <c r="Q57" s="10"/>
    </row>
    <row r="58" ht="15" customHeight="1" spans="1:17" x14ac:dyDescent="0.25">
      <c r="A58" s="10" t="s">
        <v>1279</v>
      </c>
      <c r="B58" s="11" t="s">
        <v>1280</v>
      </c>
      <c r="C58" s="10" t="s">
        <v>142</v>
      </c>
      <c r="D58" s="10"/>
      <c r="E58" s="10"/>
      <c r="F58" s="10" t="s">
        <v>1184</v>
      </c>
      <c r="G58" s="10"/>
      <c r="H58" s="10" t="s">
        <v>1185</v>
      </c>
      <c r="I58" s="10" t="s">
        <v>1186</v>
      </c>
      <c r="J58" s="10">
        <v>1</v>
      </c>
      <c r="K58" s="10" t="b">
        <f>FALSE()</f>
        <v>0</v>
      </c>
      <c r="L58" s="10"/>
      <c r="M58" s="10" t="s">
        <v>1187</v>
      </c>
      <c r="N58" s="10"/>
      <c r="O58" s="11" t="s">
        <v>1188</v>
      </c>
      <c r="P58" s="11"/>
      <c r="Q58" s="10"/>
    </row>
    <row r="59" ht="15" customHeight="1" spans="1:17" x14ac:dyDescent="0.25">
      <c r="A59" s="10" t="s">
        <v>719</v>
      </c>
      <c r="B59" s="11" t="s">
        <v>720</v>
      </c>
      <c r="C59" s="10" t="s">
        <v>241</v>
      </c>
      <c r="D59" s="10"/>
      <c r="E59" s="10"/>
      <c r="F59" s="10" t="s">
        <v>1184</v>
      </c>
      <c r="G59" s="10" t="s">
        <v>139</v>
      </c>
      <c r="H59" s="10" t="s">
        <v>1185</v>
      </c>
      <c r="I59" s="10" t="s">
        <v>1191</v>
      </c>
      <c r="J59" s="10">
        <v>1</v>
      </c>
      <c r="K59" s="10" t="b">
        <f>FALSE()</f>
        <v>0</v>
      </c>
      <c r="L59" s="10"/>
      <c r="M59" s="10" t="s">
        <v>1187</v>
      </c>
      <c r="N59" s="10"/>
      <c r="O59" s="11" t="s">
        <v>1188</v>
      </c>
      <c r="P59" s="11"/>
      <c r="Q59" s="10"/>
    </row>
    <row r="60" ht="15" customHeight="1" spans="1:17" x14ac:dyDescent="0.25">
      <c r="A60" s="10" t="s">
        <v>1281</v>
      </c>
      <c r="B60" s="11" t="s">
        <v>1282</v>
      </c>
      <c r="C60" s="10" t="s">
        <v>241</v>
      </c>
      <c r="D60" s="10"/>
      <c r="E60" s="10"/>
      <c r="F60" s="10" t="s">
        <v>1184</v>
      </c>
      <c r="G60" s="10"/>
      <c r="H60" s="10" t="s">
        <v>1185</v>
      </c>
      <c r="I60" s="10" t="s">
        <v>1191</v>
      </c>
      <c r="J60" s="10">
        <v>1</v>
      </c>
      <c r="K60" s="10" t="b">
        <f>FALSE()</f>
        <v>0</v>
      </c>
      <c r="L60" s="10"/>
      <c r="M60" s="10" t="s">
        <v>1187</v>
      </c>
      <c r="N60" s="10"/>
      <c r="O60" s="11" t="s">
        <v>1188</v>
      </c>
      <c r="P60" s="11"/>
      <c r="Q60" s="10"/>
    </row>
    <row r="61" ht="15" customHeight="1" spans="1:17" x14ac:dyDescent="0.25">
      <c r="A61" s="10" t="s">
        <v>1283</v>
      </c>
      <c r="B61" s="11" t="s">
        <v>1284</v>
      </c>
      <c r="C61" s="10" t="s">
        <v>241</v>
      </c>
      <c r="D61" s="10"/>
      <c r="E61" s="10"/>
      <c r="F61" s="10" t="s">
        <v>1184</v>
      </c>
      <c r="G61" s="10"/>
      <c r="H61" s="10" t="s">
        <v>1185</v>
      </c>
      <c r="I61" s="10" t="s">
        <v>1191</v>
      </c>
      <c r="J61" s="10">
        <v>1</v>
      </c>
      <c r="K61" s="10" t="b">
        <f>FALSE()</f>
        <v>0</v>
      </c>
      <c r="L61" s="10"/>
      <c r="M61" s="10" t="s">
        <v>1187</v>
      </c>
      <c r="N61" s="10"/>
      <c r="O61" s="11" t="s">
        <v>1188</v>
      </c>
      <c r="P61" s="11"/>
      <c r="Q61" s="10"/>
    </row>
    <row r="62" ht="15" customHeight="1" spans="1:17" x14ac:dyDescent="0.25">
      <c r="A62" s="10" t="s">
        <v>1285</v>
      </c>
      <c r="B62" s="11" t="s">
        <v>1286</v>
      </c>
      <c r="C62" s="10" t="s">
        <v>241</v>
      </c>
      <c r="D62" s="10"/>
      <c r="E62" s="10"/>
      <c r="F62" s="10" t="s">
        <v>1184</v>
      </c>
      <c r="G62" s="10"/>
      <c r="H62" s="10" t="s">
        <v>1185</v>
      </c>
      <c r="I62" s="10" t="s">
        <v>1191</v>
      </c>
      <c r="J62" s="10">
        <v>1</v>
      </c>
      <c r="K62" s="10" t="b">
        <f>FALSE()</f>
        <v>0</v>
      </c>
      <c r="L62" s="10"/>
      <c r="M62" s="10" t="s">
        <v>1187</v>
      </c>
      <c r="N62" s="10"/>
      <c r="O62" s="11" t="s">
        <v>1188</v>
      </c>
      <c r="P62" s="11"/>
      <c r="Q62" s="10"/>
    </row>
    <row r="63" ht="15" customHeight="1" spans="1:17" x14ac:dyDescent="0.25">
      <c r="A63" s="10" t="s">
        <v>728</v>
      </c>
      <c r="B63" s="11" t="s">
        <v>729</v>
      </c>
      <c r="C63" s="10" t="s">
        <v>241</v>
      </c>
      <c r="D63" s="10"/>
      <c r="E63" s="10"/>
      <c r="F63" s="10" t="s">
        <v>1184</v>
      </c>
      <c r="G63" s="10" t="s">
        <v>293</v>
      </c>
      <c r="H63" s="10" t="s">
        <v>1185</v>
      </c>
      <c r="I63" s="10" t="s">
        <v>1186</v>
      </c>
      <c r="J63" s="10">
        <v>1</v>
      </c>
      <c r="K63" s="10" t="b">
        <f>FALSE()</f>
        <v>0</v>
      </c>
      <c r="L63" s="10"/>
      <c r="M63" s="10" t="s">
        <v>1187</v>
      </c>
      <c r="N63" s="10"/>
      <c r="O63" s="11" t="s">
        <v>1188</v>
      </c>
      <c r="P63" s="11"/>
      <c r="Q63" s="10"/>
    </row>
    <row r="64" ht="15" customHeight="1" spans="1:17" x14ac:dyDescent="0.25">
      <c r="A64" s="10" t="s">
        <v>734</v>
      </c>
      <c r="B64" s="11" t="s">
        <v>735</v>
      </c>
      <c r="C64" s="10" t="s">
        <v>241</v>
      </c>
      <c r="D64" s="10"/>
      <c r="E64" s="10"/>
      <c r="F64" s="10" t="s">
        <v>1184</v>
      </c>
      <c r="G64" s="10" t="s">
        <v>736</v>
      </c>
      <c r="H64" s="10" t="s">
        <v>1185</v>
      </c>
      <c r="I64" s="10" t="s">
        <v>1186</v>
      </c>
      <c r="J64" s="10">
        <v>1</v>
      </c>
      <c r="K64" s="10" t="b">
        <f>FALSE()</f>
        <v>0</v>
      </c>
      <c r="L64" s="10"/>
      <c r="M64" s="10" t="s">
        <v>1187</v>
      </c>
      <c r="N64" s="10"/>
      <c r="O64" s="11" t="s">
        <v>1188</v>
      </c>
      <c r="P64" s="11"/>
      <c r="Q64" s="10"/>
    </row>
    <row r="65" ht="15" customHeight="1" spans="1:17" x14ac:dyDescent="0.25">
      <c r="A65" s="10" t="s">
        <v>740</v>
      </c>
      <c r="B65" s="11" t="s">
        <v>741</v>
      </c>
      <c r="C65" s="10" t="s">
        <v>241</v>
      </c>
      <c r="D65" s="10"/>
      <c r="E65" s="10"/>
      <c r="F65" s="10" t="s">
        <v>1184</v>
      </c>
      <c r="G65" s="10" t="s">
        <v>278</v>
      </c>
      <c r="H65" s="10" t="s">
        <v>1185</v>
      </c>
      <c r="I65" s="10" t="s">
        <v>1191</v>
      </c>
      <c r="J65" s="10">
        <v>1</v>
      </c>
      <c r="K65" s="10" t="b">
        <f>FALSE()</f>
        <v>0</v>
      </c>
      <c r="L65" s="10"/>
      <c r="M65" s="10" t="s">
        <v>1187</v>
      </c>
      <c r="N65" s="10"/>
      <c r="O65" s="11" t="s">
        <v>1188</v>
      </c>
      <c r="P65" s="11"/>
      <c r="Q65" s="10"/>
    </row>
    <row r="66" ht="15" customHeight="1" spans="1:17" x14ac:dyDescent="0.25">
      <c r="A66" s="10" t="s">
        <v>744</v>
      </c>
      <c r="B66" s="11" t="s">
        <v>745</v>
      </c>
      <c r="C66" s="10" t="s">
        <v>241</v>
      </c>
      <c r="D66" s="10"/>
      <c r="E66" s="10"/>
      <c r="F66" s="10" t="s">
        <v>1184</v>
      </c>
      <c r="G66" s="10" t="s">
        <v>148</v>
      </c>
      <c r="H66" s="10" t="s">
        <v>1185</v>
      </c>
      <c r="I66" s="10" t="s">
        <v>1191</v>
      </c>
      <c r="J66" s="10">
        <v>1</v>
      </c>
      <c r="K66" s="10" t="b">
        <f>FALSE()</f>
        <v>0</v>
      </c>
      <c r="L66" s="10"/>
      <c r="M66" s="10" t="s">
        <v>1187</v>
      </c>
      <c r="N66" s="10"/>
      <c r="O66" s="11" t="s">
        <v>1188</v>
      </c>
      <c r="P66" s="11"/>
      <c r="Q66" s="10"/>
    </row>
    <row r="67" ht="15" customHeight="1" spans="1:17" x14ac:dyDescent="0.25">
      <c r="A67" s="10" t="s">
        <v>751</v>
      </c>
      <c r="B67" s="11" t="s">
        <v>752</v>
      </c>
      <c r="C67" s="10" t="s">
        <v>241</v>
      </c>
      <c r="D67" s="10"/>
      <c r="E67" s="10"/>
      <c r="F67" s="10" t="s">
        <v>1184</v>
      </c>
      <c r="G67" s="10" t="s">
        <v>139</v>
      </c>
      <c r="H67" s="10" t="s">
        <v>1185</v>
      </c>
      <c r="I67" s="10" t="s">
        <v>1191</v>
      </c>
      <c r="J67" s="10">
        <v>1</v>
      </c>
      <c r="K67" s="10" t="b">
        <f>FALSE()</f>
        <v>0</v>
      </c>
      <c r="L67" s="10"/>
      <c r="M67" s="10" t="s">
        <v>1187</v>
      </c>
      <c r="N67" s="10"/>
      <c r="O67" s="11" t="s">
        <v>1188</v>
      </c>
      <c r="P67" s="11"/>
      <c r="Q67" s="10"/>
    </row>
    <row r="68" ht="15" customHeight="1" spans="1:17" x14ac:dyDescent="0.25">
      <c r="A68" s="10" t="s">
        <v>1287</v>
      </c>
      <c r="B68" s="11" t="s">
        <v>1288</v>
      </c>
      <c r="C68" s="10" t="s">
        <v>241</v>
      </c>
      <c r="D68" s="10"/>
      <c r="E68" s="10"/>
      <c r="F68" s="10" t="s">
        <v>1184</v>
      </c>
      <c r="G68" s="10"/>
      <c r="H68" s="10" t="s">
        <v>1185</v>
      </c>
      <c r="I68" s="10" t="s">
        <v>1186</v>
      </c>
      <c r="J68" s="10">
        <v>1</v>
      </c>
      <c r="K68" s="10" t="b">
        <f>FALSE()</f>
        <v>0</v>
      </c>
      <c r="L68" s="10"/>
      <c r="M68" s="10" t="s">
        <v>1187</v>
      </c>
      <c r="N68" s="10"/>
      <c r="O68" s="11" t="s">
        <v>1188</v>
      </c>
      <c r="P68" s="11"/>
      <c r="Q68" s="10"/>
    </row>
    <row r="69" ht="15" customHeight="1" spans="1:17" x14ac:dyDescent="0.25">
      <c r="A69" s="10" t="s">
        <v>1289</v>
      </c>
      <c r="B69" s="11" t="s">
        <v>1290</v>
      </c>
      <c r="C69" s="10" t="s">
        <v>241</v>
      </c>
      <c r="D69" s="10"/>
      <c r="E69" s="10"/>
      <c r="F69" s="10" t="s">
        <v>1184</v>
      </c>
      <c r="G69" s="10"/>
      <c r="H69" s="10" t="s">
        <v>1185</v>
      </c>
      <c r="I69" s="10" t="s">
        <v>1191</v>
      </c>
      <c r="J69" s="10">
        <v>1</v>
      </c>
      <c r="K69" s="10" t="b">
        <f>FALSE()</f>
        <v>0</v>
      </c>
      <c r="L69" s="10"/>
      <c r="M69" s="10" t="s">
        <v>1187</v>
      </c>
      <c r="N69" s="10"/>
      <c r="O69" s="11" t="s">
        <v>1188</v>
      </c>
      <c r="P69" s="11"/>
      <c r="Q69" s="10"/>
    </row>
    <row r="70" ht="23.85" customHeight="1" spans="1:17" x14ac:dyDescent="0.25">
      <c r="A70" s="10" t="s">
        <v>755</v>
      </c>
      <c r="B70" s="11" t="s">
        <v>756</v>
      </c>
      <c r="C70" s="10" t="s">
        <v>241</v>
      </c>
      <c r="D70" s="10"/>
      <c r="E70" s="10"/>
      <c r="F70" s="10" t="s">
        <v>1184</v>
      </c>
      <c r="G70" s="10" t="s">
        <v>191</v>
      </c>
      <c r="H70" s="10" t="s">
        <v>1185</v>
      </c>
      <c r="I70" s="10" t="s">
        <v>132</v>
      </c>
      <c r="J70" s="10">
        <v>2</v>
      </c>
      <c r="K70" s="10" t="b">
        <f>FALSE()</f>
        <v>0</v>
      </c>
      <c r="L70" s="10" t="s">
        <v>120</v>
      </c>
      <c r="M70" s="10" t="s">
        <v>1165</v>
      </c>
      <c r="N70" s="10"/>
      <c r="O70" s="11" t="s">
        <v>1291</v>
      </c>
      <c r="P70" s="11" t="s">
        <v>1166</v>
      </c>
      <c r="Q70" s="10"/>
    </row>
    <row r="71" ht="15" customHeight="1" spans="1:17" x14ac:dyDescent="0.25">
      <c r="A71" s="10" t="s">
        <v>1292</v>
      </c>
      <c r="B71" s="11" t="s">
        <v>1293</v>
      </c>
      <c r="C71" s="10" t="s">
        <v>241</v>
      </c>
      <c r="D71" s="10"/>
      <c r="E71" s="10"/>
      <c r="F71" s="10" t="s">
        <v>1184</v>
      </c>
      <c r="G71" s="10"/>
      <c r="H71" s="10" t="s">
        <v>1185</v>
      </c>
      <c r="I71" s="10" t="s">
        <v>1186</v>
      </c>
      <c r="J71" s="10">
        <v>1</v>
      </c>
      <c r="K71" s="10" t="b">
        <f>FALSE()</f>
        <v>0</v>
      </c>
      <c r="L71" s="10"/>
      <c r="M71" s="10" t="s">
        <v>1187</v>
      </c>
      <c r="N71" s="10"/>
      <c r="O71" s="11" t="s">
        <v>1188</v>
      </c>
      <c r="P71" s="11"/>
      <c r="Q71" s="10"/>
    </row>
    <row r="72" ht="15" customHeight="1" spans="1:17" x14ac:dyDescent="0.25">
      <c r="A72" s="10" t="s">
        <v>766</v>
      </c>
      <c r="B72" s="11" t="s">
        <v>767</v>
      </c>
      <c r="C72" s="10" t="s">
        <v>241</v>
      </c>
      <c r="D72" s="10"/>
      <c r="E72" s="10"/>
      <c r="F72" s="10" t="s">
        <v>1184</v>
      </c>
      <c r="G72" s="10" t="s">
        <v>191</v>
      </c>
      <c r="H72" s="10" t="s">
        <v>1185</v>
      </c>
      <c r="I72" s="10" t="s">
        <v>1186</v>
      </c>
      <c r="J72" s="10">
        <v>1</v>
      </c>
      <c r="K72" s="10" t="b">
        <f>FALSE()</f>
        <v>0</v>
      </c>
      <c r="L72" s="10"/>
      <c r="M72" s="10" t="s">
        <v>1187</v>
      </c>
      <c r="N72" s="10"/>
      <c r="O72" s="11" t="s">
        <v>1188</v>
      </c>
      <c r="P72" s="11"/>
      <c r="Q72" s="10"/>
    </row>
    <row r="73" ht="15" customHeight="1" spans="1:17" x14ac:dyDescent="0.25">
      <c r="A73" s="10" t="s">
        <v>1294</v>
      </c>
      <c r="B73" s="11" t="s">
        <v>1295</v>
      </c>
      <c r="C73" s="10" t="s">
        <v>241</v>
      </c>
      <c r="D73" s="10"/>
      <c r="E73" s="10"/>
      <c r="F73" s="10" t="s">
        <v>1184</v>
      </c>
      <c r="G73" s="10"/>
      <c r="H73" s="10" t="s">
        <v>1185</v>
      </c>
      <c r="I73" s="10" t="s">
        <v>132</v>
      </c>
      <c r="J73" s="10">
        <v>2</v>
      </c>
      <c r="K73" s="10" t="b">
        <f>FALSE()</f>
        <v>0</v>
      </c>
      <c r="L73" s="10"/>
      <c r="M73" s="10" t="s">
        <v>1296</v>
      </c>
      <c r="N73" s="10"/>
      <c r="O73" s="11" t="s">
        <v>1297</v>
      </c>
      <c r="P73" s="11"/>
      <c r="Q73" s="10"/>
    </row>
    <row r="74" ht="15" customHeight="1" spans="1:17" x14ac:dyDescent="0.25">
      <c r="A74" s="10" t="s">
        <v>1298</v>
      </c>
      <c r="B74" s="11" t="s">
        <v>1299</v>
      </c>
      <c r="C74" s="10" t="s">
        <v>241</v>
      </c>
      <c r="D74" s="10"/>
      <c r="E74" s="10"/>
      <c r="F74" s="10" t="s">
        <v>1184</v>
      </c>
      <c r="G74" s="10"/>
      <c r="H74" s="10" t="s">
        <v>1185</v>
      </c>
      <c r="I74" s="10" t="s">
        <v>1186</v>
      </c>
      <c r="J74" s="10">
        <v>1</v>
      </c>
      <c r="K74" s="10" t="b">
        <f>FALSE()</f>
        <v>0</v>
      </c>
      <c r="L74" s="10"/>
      <c r="M74" s="10" t="s">
        <v>1187</v>
      </c>
      <c r="N74" s="10"/>
      <c r="O74" s="11" t="s">
        <v>1188</v>
      </c>
      <c r="P74" s="11"/>
      <c r="Q74" s="10"/>
    </row>
    <row r="75" ht="15" customHeight="1" spans="1:17" x14ac:dyDescent="0.25">
      <c r="A75" s="10" t="s">
        <v>1300</v>
      </c>
      <c r="B75" s="11" t="s">
        <v>1301</v>
      </c>
      <c r="C75" s="10" t="s">
        <v>241</v>
      </c>
      <c r="D75" s="10"/>
      <c r="E75" s="10"/>
      <c r="F75" s="10" t="s">
        <v>1184</v>
      </c>
      <c r="G75" s="10"/>
      <c r="H75" s="10" t="s">
        <v>1185</v>
      </c>
      <c r="I75" s="10" t="s">
        <v>1186</v>
      </c>
      <c r="J75" s="10">
        <v>1</v>
      </c>
      <c r="K75" s="10" t="b">
        <f>FALSE()</f>
        <v>0</v>
      </c>
      <c r="L75" s="10"/>
      <c r="M75" s="10" t="s">
        <v>1187</v>
      </c>
      <c r="N75" s="10"/>
      <c r="O75" s="11" t="s">
        <v>1188</v>
      </c>
      <c r="P75" s="11"/>
      <c r="Q75" s="10"/>
    </row>
    <row r="76" ht="15" customHeight="1" spans="1:17" x14ac:dyDescent="0.25">
      <c r="A76" s="10" t="s">
        <v>1302</v>
      </c>
      <c r="B76" s="11" t="s">
        <v>1303</v>
      </c>
      <c r="C76" s="10" t="s">
        <v>241</v>
      </c>
      <c r="D76" s="10"/>
      <c r="E76" s="10"/>
      <c r="F76" s="10" t="s">
        <v>1184</v>
      </c>
      <c r="G76" s="10"/>
      <c r="H76" s="10" t="s">
        <v>1185</v>
      </c>
      <c r="I76" s="10" t="s">
        <v>1186</v>
      </c>
      <c r="J76" s="10">
        <v>1</v>
      </c>
      <c r="K76" s="10" t="b">
        <f>FALSE()</f>
        <v>0</v>
      </c>
      <c r="L76" s="10"/>
      <c r="M76" s="10" t="s">
        <v>1187</v>
      </c>
      <c r="N76" s="10"/>
      <c r="O76" s="11" t="s">
        <v>1188</v>
      </c>
      <c r="P76" s="11"/>
      <c r="Q76" s="10"/>
    </row>
    <row r="77" ht="15" customHeight="1" spans="1:17" x14ac:dyDescent="0.25">
      <c r="A77" s="10" t="s">
        <v>1304</v>
      </c>
      <c r="B77" s="11" t="s">
        <v>1305</v>
      </c>
      <c r="C77" s="10" t="s">
        <v>241</v>
      </c>
      <c r="D77" s="10"/>
      <c r="E77" s="10"/>
      <c r="F77" s="10" t="s">
        <v>1184</v>
      </c>
      <c r="G77" s="10"/>
      <c r="H77" s="10" t="s">
        <v>1185</v>
      </c>
      <c r="I77" s="10" t="s">
        <v>1186</v>
      </c>
      <c r="J77" s="10">
        <v>1</v>
      </c>
      <c r="K77" s="10" t="b">
        <f>FALSE()</f>
        <v>0</v>
      </c>
      <c r="L77" s="10"/>
      <c r="M77" s="10" t="s">
        <v>1187</v>
      </c>
      <c r="N77" s="10"/>
      <c r="O77" s="11" t="s">
        <v>1188</v>
      </c>
      <c r="P77" s="11"/>
      <c r="Q77" s="10"/>
    </row>
    <row r="78" ht="15" customHeight="1" spans="1:17" x14ac:dyDescent="0.25">
      <c r="A78" s="10" t="s">
        <v>1306</v>
      </c>
      <c r="B78" s="11" t="s">
        <v>1307</v>
      </c>
      <c r="C78" s="10" t="s">
        <v>241</v>
      </c>
      <c r="D78" s="10"/>
      <c r="E78" s="10"/>
      <c r="F78" s="10" t="s">
        <v>1184</v>
      </c>
      <c r="G78" s="10"/>
      <c r="H78" s="10" t="s">
        <v>1185</v>
      </c>
      <c r="I78" s="10" t="s">
        <v>1186</v>
      </c>
      <c r="J78" s="10">
        <v>1</v>
      </c>
      <c r="K78" s="10" t="b">
        <f>FALSE()</f>
        <v>0</v>
      </c>
      <c r="L78" s="10"/>
      <c r="M78" s="10" t="s">
        <v>1187</v>
      </c>
      <c r="N78" s="10"/>
      <c r="O78" s="11" t="s">
        <v>1188</v>
      </c>
      <c r="P78" s="11"/>
      <c r="Q78" s="10"/>
    </row>
    <row r="79" ht="15" customHeight="1" spans="1:17" x14ac:dyDescent="0.25">
      <c r="A79" s="10" t="s">
        <v>1308</v>
      </c>
      <c r="B79" s="11" t="s">
        <v>1309</v>
      </c>
      <c r="C79" s="10" t="s">
        <v>241</v>
      </c>
      <c r="D79" s="10"/>
      <c r="E79" s="10"/>
      <c r="F79" s="10" t="s">
        <v>1184</v>
      </c>
      <c r="G79" s="10"/>
      <c r="H79" s="10" t="s">
        <v>1185</v>
      </c>
      <c r="I79" s="10" t="s">
        <v>121</v>
      </c>
      <c r="J79" s="10">
        <v>2</v>
      </c>
      <c r="K79" s="10" t="b">
        <f>FALSE()</f>
        <v>0</v>
      </c>
      <c r="L79" s="10"/>
      <c r="M79" s="10" t="s">
        <v>1296</v>
      </c>
      <c r="N79" s="10"/>
      <c r="O79" s="11" t="s">
        <v>1297</v>
      </c>
      <c r="P79" s="11"/>
      <c r="Q79" s="10"/>
    </row>
    <row r="80" ht="15" customHeight="1" spans="1:17" x14ac:dyDescent="0.25">
      <c r="A80" s="10" t="s">
        <v>782</v>
      </c>
      <c r="B80" s="11" t="s">
        <v>783</v>
      </c>
      <c r="C80" s="10" t="s">
        <v>241</v>
      </c>
      <c r="D80" s="10"/>
      <c r="E80" s="10"/>
      <c r="F80" s="10" t="s">
        <v>1184</v>
      </c>
      <c r="G80" s="10" t="s">
        <v>139</v>
      </c>
      <c r="H80" s="10" t="s">
        <v>1185</v>
      </c>
      <c r="I80" s="10" t="s">
        <v>1186</v>
      </c>
      <c r="J80" s="10">
        <v>1</v>
      </c>
      <c r="K80" s="10" t="b">
        <f>FALSE()</f>
        <v>0</v>
      </c>
      <c r="L80" s="10"/>
      <c r="M80" s="10" t="s">
        <v>1187</v>
      </c>
      <c r="N80" s="10"/>
      <c r="O80" s="11" t="s">
        <v>1188</v>
      </c>
      <c r="P80" s="11"/>
      <c r="Q80" s="10"/>
    </row>
    <row r="81" ht="15" customHeight="1" spans="1:17" x14ac:dyDescent="0.25">
      <c r="A81" s="10" t="s">
        <v>1310</v>
      </c>
      <c r="B81" s="11" t="s">
        <v>1311</v>
      </c>
      <c r="C81" s="10" t="s">
        <v>241</v>
      </c>
      <c r="D81" s="10"/>
      <c r="E81" s="10"/>
      <c r="F81" s="10" t="s">
        <v>1184</v>
      </c>
      <c r="G81" s="10"/>
      <c r="H81" s="10" t="s">
        <v>1185</v>
      </c>
      <c r="I81" s="10" t="s">
        <v>1186</v>
      </c>
      <c r="J81" s="10">
        <v>1</v>
      </c>
      <c r="K81" s="10" t="b">
        <f>FALSE()</f>
        <v>0</v>
      </c>
      <c r="L81" s="10"/>
      <c r="M81" s="10" t="s">
        <v>1187</v>
      </c>
      <c r="N81" s="10"/>
      <c r="O81" s="11" t="s">
        <v>1188</v>
      </c>
      <c r="P81" s="11"/>
      <c r="Q81" s="10"/>
    </row>
    <row r="82" ht="15" customHeight="1" spans="1:17" x14ac:dyDescent="0.25">
      <c r="A82" s="10" t="s">
        <v>786</v>
      </c>
      <c r="B82" s="11" t="s">
        <v>787</v>
      </c>
      <c r="C82" s="10" t="s">
        <v>241</v>
      </c>
      <c r="D82" s="10"/>
      <c r="E82" s="10"/>
      <c r="F82" s="10" t="s">
        <v>1184</v>
      </c>
      <c r="G82" s="10" t="s">
        <v>293</v>
      </c>
      <c r="H82" s="10" t="s">
        <v>1185</v>
      </c>
      <c r="I82" s="10" t="s">
        <v>1191</v>
      </c>
      <c r="J82" s="10">
        <v>1</v>
      </c>
      <c r="K82" s="10" t="b">
        <f>FALSE()</f>
        <v>0</v>
      </c>
      <c r="L82" s="10"/>
      <c r="M82" s="10" t="s">
        <v>1187</v>
      </c>
      <c r="N82" s="10"/>
      <c r="O82" s="11" t="s">
        <v>1188</v>
      </c>
      <c r="P82" s="11"/>
      <c r="Q82" s="10"/>
    </row>
    <row r="83" ht="15" customHeight="1" spans="1:17" x14ac:dyDescent="0.25">
      <c r="A83" s="10" t="s">
        <v>1312</v>
      </c>
      <c r="B83" s="11" t="s">
        <v>1313</v>
      </c>
      <c r="C83" s="10" t="s">
        <v>241</v>
      </c>
      <c r="D83" s="10"/>
      <c r="E83" s="10"/>
      <c r="F83" s="10" t="s">
        <v>1184</v>
      </c>
      <c r="G83" s="10"/>
      <c r="H83" s="10" t="s">
        <v>1185</v>
      </c>
      <c r="I83" s="10" t="s">
        <v>1186</v>
      </c>
      <c r="J83" s="10">
        <v>1</v>
      </c>
      <c r="K83" s="10" t="b">
        <f>FALSE()</f>
        <v>0</v>
      </c>
      <c r="L83" s="10"/>
      <c r="M83" s="10" t="s">
        <v>1187</v>
      </c>
      <c r="N83" s="10"/>
      <c r="O83" s="11" t="s">
        <v>1188</v>
      </c>
      <c r="P83" s="11"/>
      <c r="Q83" s="10"/>
    </row>
    <row r="84" ht="15" customHeight="1" spans="1:17" x14ac:dyDescent="0.25">
      <c r="A84" s="10" t="s">
        <v>1314</v>
      </c>
      <c r="B84" s="11" t="s">
        <v>1315</v>
      </c>
      <c r="C84" s="10" t="s">
        <v>241</v>
      </c>
      <c r="D84" s="10"/>
      <c r="E84" s="10"/>
      <c r="F84" s="10" t="s">
        <v>1184</v>
      </c>
      <c r="G84" s="10"/>
      <c r="H84" s="10" t="s">
        <v>1185</v>
      </c>
      <c r="I84" s="10" t="s">
        <v>1191</v>
      </c>
      <c r="J84" s="10">
        <v>1</v>
      </c>
      <c r="K84" s="10" t="b">
        <f>FALSE()</f>
        <v>0</v>
      </c>
      <c r="L84" s="10"/>
      <c r="M84" s="10" t="s">
        <v>1187</v>
      </c>
      <c r="N84" s="10"/>
      <c r="O84" s="11" t="s">
        <v>1188</v>
      </c>
      <c r="P84" s="11"/>
      <c r="Q84" s="10"/>
    </row>
    <row r="85" ht="15" customHeight="1" spans="1:17" x14ac:dyDescent="0.25">
      <c r="A85" s="10" t="s">
        <v>1316</v>
      </c>
      <c r="B85" s="11" t="s">
        <v>1317</v>
      </c>
      <c r="C85" s="10" t="s">
        <v>241</v>
      </c>
      <c r="D85" s="10"/>
      <c r="E85" s="10"/>
      <c r="F85" s="10" t="s">
        <v>1184</v>
      </c>
      <c r="G85" s="10"/>
      <c r="H85" s="10" t="s">
        <v>1185</v>
      </c>
      <c r="I85" s="10" t="s">
        <v>1186</v>
      </c>
      <c r="J85" s="10">
        <v>1</v>
      </c>
      <c r="K85" s="10" t="b">
        <f>FALSE()</f>
        <v>0</v>
      </c>
      <c r="L85" s="10"/>
      <c r="M85" s="10" t="s">
        <v>1187</v>
      </c>
      <c r="N85" s="10"/>
      <c r="O85" s="11" t="s">
        <v>1188</v>
      </c>
      <c r="P85" s="11"/>
      <c r="Q85" s="10"/>
    </row>
    <row r="86" ht="15" customHeight="1" spans="1:17" x14ac:dyDescent="0.25">
      <c r="A86" s="10" t="s">
        <v>1318</v>
      </c>
      <c r="B86" s="11" t="s">
        <v>1319</v>
      </c>
      <c r="C86" s="10" t="s">
        <v>241</v>
      </c>
      <c r="D86" s="10"/>
      <c r="E86" s="10"/>
      <c r="F86" s="10" t="s">
        <v>1184</v>
      </c>
      <c r="G86" s="10"/>
      <c r="H86" s="10" t="s">
        <v>1185</v>
      </c>
      <c r="I86" s="10" t="s">
        <v>1186</v>
      </c>
      <c r="J86" s="10">
        <v>1</v>
      </c>
      <c r="K86" s="10" t="b">
        <f>FALSE()</f>
        <v>0</v>
      </c>
      <c r="L86" s="10"/>
      <c r="M86" s="10" t="s">
        <v>1187</v>
      </c>
      <c r="N86" s="10"/>
      <c r="O86" s="11" t="s">
        <v>1188</v>
      </c>
      <c r="P86" s="11"/>
      <c r="Q86" s="10"/>
    </row>
    <row r="87" ht="15" customHeight="1" spans="1:17" x14ac:dyDescent="0.25">
      <c r="A87" s="10" t="s">
        <v>1320</v>
      </c>
      <c r="B87" s="11" t="s">
        <v>1321</v>
      </c>
      <c r="C87" s="10" t="s">
        <v>241</v>
      </c>
      <c r="D87" s="10"/>
      <c r="E87" s="10"/>
      <c r="F87" s="10" t="s">
        <v>1184</v>
      </c>
      <c r="G87" s="10"/>
      <c r="H87" s="10" t="s">
        <v>1185</v>
      </c>
      <c r="I87" s="10" t="s">
        <v>1186</v>
      </c>
      <c r="J87" s="10">
        <v>1</v>
      </c>
      <c r="K87" s="10" t="b">
        <f>FALSE()</f>
        <v>0</v>
      </c>
      <c r="L87" s="10"/>
      <c r="M87" s="10" t="s">
        <v>1187</v>
      </c>
      <c r="N87" s="10"/>
      <c r="O87" s="11" t="s">
        <v>1188</v>
      </c>
      <c r="P87" s="11"/>
      <c r="Q87" s="10"/>
    </row>
    <row r="88" ht="15" customHeight="1" spans="1:17" x14ac:dyDescent="0.25">
      <c r="A88" s="10" t="s">
        <v>1322</v>
      </c>
      <c r="B88" s="11" t="s">
        <v>1323</v>
      </c>
      <c r="C88" s="10" t="s">
        <v>241</v>
      </c>
      <c r="D88" s="10"/>
      <c r="E88" s="10"/>
      <c r="F88" s="10" t="s">
        <v>1184</v>
      </c>
      <c r="G88" s="10"/>
      <c r="H88" s="10" t="s">
        <v>1185</v>
      </c>
      <c r="I88" s="10" t="s">
        <v>1186</v>
      </c>
      <c r="J88" s="10">
        <v>1</v>
      </c>
      <c r="K88" s="10" t="b">
        <f>FALSE()</f>
        <v>0</v>
      </c>
      <c r="L88" s="10"/>
      <c r="M88" s="10" t="s">
        <v>1187</v>
      </c>
      <c r="N88" s="10"/>
      <c r="O88" s="11" t="s">
        <v>1188</v>
      </c>
      <c r="P88" s="11"/>
      <c r="Q88" s="10"/>
    </row>
    <row r="89" ht="15" customHeight="1" spans="1:17" x14ac:dyDescent="0.25">
      <c r="A89" s="10" t="s">
        <v>1324</v>
      </c>
      <c r="B89" s="11" t="s">
        <v>1325</v>
      </c>
      <c r="C89" s="10" t="s">
        <v>241</v>
      </c>
      <c r="D89" s="10"/>
      <c r="E89" s="10"/>
      <c r="F89" s="10" t="s">
        <v>1184</v>
      </c>
      <c r="G89" s="10"/>
      <c r="H89" s="10" t="s">
        <v>1185</v>
      </c>
      <c r="I89" s="10" t="s">
        <v>1191</v>
      </c>
      <c r="J89" s="10">
        <v>1</v>
      </c>
      <c r="K89" s="10" t="b">
        <f>FALSE()</f>
        <v>0</v>
      </c>
      <c r="L89" s="10"/>
      <c r="M89" s="10" t="s">
        <v>1187</v>
      </c>
      <c r="N89" s="10"/>
      <c r="O89" s="11" t="s">
        <v>1188</v>
      </c>
      <c r="P89" s="11"/>
      <c r="Q89" s="10"/>
    </row>
    <row r="90" ht="15" customHeight="1" spans="1:17" x14ac:dyDescent="0.25">
      <c r="A90" s="10" t="s">
        <v>1326</v>
      </c>
      <c r="B90" s="11" t="s">
        <v>1327</v>
      </c>
      <c r="C90" s="10" t="s">
        <v>241</v>
      </c>
      <c r="D90" s="10"/>
      <c r="E90" s="10"/>
      <c r="F90" s="10" t="s">
        <v>1184</v>
      </c>
      <c r="G90" s="10"/>
      <c r="H90" s="10" t="s">
        <v>1185</v>
      </c>
      <c r="I90" s="10" t="s">
        <v>1186</v>
      </c>
      <c r="J90" s="10">
        <v>1</v>
      </c>
      <c r="K90" s="10" t="b">
        <f>FALSE()</f>
        <v>0</v>
      </c>
      <c r="L90" s="10"/>
      <c r="M90" s="10" t="s">
        <v>1187</v>
      </c>
      <c r="N90" s="10"/>
      <c r="O90" s="11" t="s">
        <v>1188</v>
      </c>
      <c r="P90" s="11"/>
      <c r="Q90" s="10"/>
    </row>
    <row r="91" ht="15" customHeight="1" spans="1:17" x14ac:dyDescent="0.25">
      <c r="A91" s="10" t="s">
        <v>792</v>
      </c>
      <c r="B91" s="11" t="s">
        <v>793</v>
      </c>
      <c r="C91" s="10" t="s">
        <v>241</v>
      </c>
      <c r="D91" s="10"/>
      <c r="E91" s="10"/>
      <c r="F91" s="10" t="s">
        <v>1184</v>
      </c>
      <c r="G91" s="10" t="s">
        <v>706</v>
      </c>
      <c r="H91" s="10" t="s">
        <v>1185</v>
      </c>
      <c r="I91" s="10" t="s">
        <v>1186</v>
      </c>
      <c r="J91" s="10">
        <v>1</v>
      </c>
      <c r="K91" s="10" t="b">
        <f>FALSE()</f>
        <v>0</v>
      </c>
      <c r="L91" s="10"/>
      <c r="M91" s="10" t="s">
        <v>1187</v>
      </c>
      <c r="N91" s="10"/>
      <c r="O91" s="11" t="s">
        <v>1188</v>
      </c>
      <c r="P91" s="11"/>
      <c r="Q91" s="10"/>
    </row>
    <row r="92" ht="15" customHeight="1" spans="1:17" x14ac:dyDescent="0.25">
      <c r="A92" s="10" t="s">
        <v>1328</v>
      </c>
      <c r="B92" s="11" t="s">
        <v>1329</v>
      </c>
      <c r="C92" s="10" t="s">
        <v>241</v>
      </c>
      <c r="D92" s="10"/>
      <c r="E92" s="10"/>
      <c r="F92" s="10" t="s">
        <v>1184</v>
      </c>
      <c r="G92" s="10"/>
      <c r="H92" s="10" t="s">
        <v>1185</v>
      </c>
      <c r="I92" s="10" t="s">
        <v>1191</v>
      </c>
      <c r="J92" s="10">
        <v>1</v>
      </c>
      <c r="K92" s="10" t="b">
        <f>FALSE()</f>
        <v>0</v>
      </c>
      <c r="L92" s="10"/>
      <c r="M92" s="10" t="s">
        <v>1187</v>
      </c>
      <c r="N92" s="10"/>
      <c r="O92" s="11" t="s">
        <v>1188</v>
      </c>
      <c r="P92" s="11"/>
      <c r="Q92" s="10"/>
    </row>
    <row r="93" ht="15" customHeight="1" spans="1:17" x14ac:dyDescent="0.25">
      <c r="A93" s="10" t="s">
        <v>1330</v>
      </c>
      <c r="B93" s="11" t="s">
        <v>1331</v>
      </c>
      <c r="C93" s="10" t="s">
        <v>241</v>
      </c>
      <c r="D93" s="10"/>
      <c r="E93" s="10"/>
      <c r="F93" s="10" t="s">
        <v>1184</v>
      </c>
      <c r="G93" s="10"/>
      <c r="H93" s="10" t="s">
        <v>1185</v>
      </c>
      <c r="I93" s="10" t="s">
        <v>1191</v>
      </c>
      <c r="J93" s="10">
        <v>1</v>
      </c>
      <c r="K93" s="10" t="b">
        <f>FALSE()</f>
        <v>0</v>
      </c>
      <c r="L93" s="10"/>
      <c r="M93" s="10" t="s">
        <v>1187</v>
      </c>
      <c r="N93" s="10"/>
      <c r="O93" s="11" t="s">
        <v>1188</v>
      </c>
      <c r="P93" s="11"/>
      <c r="Q93" s="10"/>
    </row>
    <row r="94" ht="15" customHeight="1" spans="1:17" x14ac:dyDescent="0.25">
      <c r="A94" s="10" t="s">
        <v>796</v>
      </c>
      <c r="B94" s="11" t="s">
        <v>797</v>
      </c>
      <c r="C94" s="10" t="s">
        <v>241</v>
      </c>
      <c r="D94" s="10"/>
      <c r="E94" s="10"/>
      <c r="F94" s="10" t="s">
        <v>1184</v>
      </c>
      <c r="G94" s="10" t="s">
        <v>191</v>
      </c>
      <c r="H94" s="10" t="s">
        <v>1185</v>
      </c>
      <c r="I94" s="10" t="s">
        <v>1191</v>
      </c>
      <c r="J94" s="10">
        <v>1</v>
      </c>
      <c r="K94" s="10" t="b">
        <f>FALSE()</f>
        <v>0</v>
      </c>
      <c r="L94" s="10"/>
      <c r="M94" s="10" t="s">
        <v>1187</v>
      </c>
      <c r="N94" s="10"/>
      <c r="O94" s="11" t="s">
        <v>1188</v>
      </c>
      <c r="P94" s="11"/>
      <c r="Q94" s="10"/>
    </row>
    <row r="95" ht="15" customHeight="1" spans="1:17" x14ac:dyDescent="0.25">
      <c r="A95" s="10" t="s">
        <v>1332</v>
      </c>
      <c r="B95" s="11" t="s">
        <v>1333</v>
      </c>
      <c r="C95" s="10" t="s">
        <v>241</v>
      </c>
      <c r="D95" s="10"/>
      <c r="E95" s="10"/>
      <c r="F95" s="10" t="s">
        <v>1184</v>
      </c>
      <c r="G95" s="10"/>
      <c r="H95" s="10" t="s">
        <v>1185</v>
      </c>
      <c r="I95" s="10" t="s">
        <v>1191</v>
      </c>
      <c r="J95" s="10">
        <v>1</v>
      </c>
      <c r="K95" s="10" t="b">
        <f>FALSE()</f>
        <v>0</v>
      </c>
      <c r="L95" s="10"/>
      <c r="M95" s="10" t="s">
        <v>1187</v>
      </c>
      <c r="N95" s="10"/>
      <c r="O95" s="11" t="s">
        <v>1188</v>
      </c>
      <c r="P95" s="11"/>
      <c r="Q95" s="10"/>
    </row>
    <row r="96" ht="15" customHeight="1" spans="1:17" x14ac:dyDescent="0.25">
      <c r="A96" s="10" t="s">
        <v>1334</v>
      </c>
      <c r="B96" s="11" t="s">
        <v>1335</v>
      </c>
      <c r="C96" s="10" t="s">
        <v>241</v>
      </c>
      <c r="D96" s="10"/>
      <c r="E96" s="10"/>
      <c r="F96" s="10" t="s">
        <v>1184</v>
      </c>
      <c r="G96" s="10"/>
      <c r="H96" s="10" t="s">
        <v>1185</v>
      </c>
      <c r="I96" s="10" t="s">
        <v>1191</v>
      </c>
      <c r="J96" s="10">
        <v>1</v>
      </c>
      <c r="K96" s="10" t="b">
        <f>FALSE()</f>
        <v>0</v>
      </c>
      <c r="L96" s="10"/>
      <c r="M96" s="10" t="s">
        <v>1187</v>
      </c>
      <c r="N96" s="10"/>
      <c r="O96" s="11" t="s">
        <v>1188</v>
      </c>
      <c r="P96" s="11"/>
      <c r="Q96" s="10"/>
    </row>
    <row r="97" ht="15" customHeight="1" spans="1:17" x14ac:dyDescent="0.25">
      <c r="A97" s="10" t="s">
        <v>1336</v>
      </c>
      <c r="B97" s="11" t="s">
        <v>1337</v>
      </c>
      <c r="C97" s="10" t="s">
        <v>241</v>
      </c>
      <c r="D97" s="10"/>
      <c r="E97" s="10"/>
      <c r="F97" s="10" t="s">
        <v>1184</v>
      </c>
      <c r="G97" s="10"/>
      <c r="H97" s="10" t="s">
        <v>1185</v>
      </c>
      <c r="I97" s="10" t="s">
        <v>1186</v>
      </c>
      <c r="J97" s="10">
        <v>1</v>
      </c>
      <c r="K97" s="10" t="b">
        <f>FALSE()</f>
        <v>0</v>
      </c>
      <c r="L97" s="10"/>
      <c r="M97" s="10" t="s">
        <v>1187</v>
      </c>
      <c r="N97" s="10"/>
      <c r="O97" s="11" t="s">
        <v>1188</v>
      </c>
      <c r="P97" s="11"/>
      <c r="Q97" s="10"/>
    </row>
    <row r="98" ht="15" customHeight="1" spans="1:17" x14ac:dyDescent="0.25">
      <c r="A98" s="10" t="s">
        <v>1338</v>
      </c>
      <c r="B98" s="11" t="s">
        <v>1339</v>
      </c>
      <c r="C98" s="10" t="s">
        <v>241</v>
      </c>
      <c r="D98" s="10"/>
      <c r="E98" s="10"/>
      <c r="F98" s="10" t="s">
        <v>1184</v>
      </c>
      <c r="G98" s="10"/>
      <c r="H98" s="10" t="s">
        <v>1185</v>
      </c>
      <c r="I98" s="10" t="s">
        <v>1186</v>
      </c>
      <c r="J98" s="10">
        <v>1</v>
      </c>
      <c r="K98" s="10" t="b">
        <f>FALSE()</f>
        <v>0</v>
      </c>
      <c r="L98" s="10"/>
      <c r="M98" s="10" t="s">
        <v>1187</v>
      </c>
      <c r="N98" s="10"/>
      <c r="O98" s="11" t="s">
        <v>1188</v>
      </c>
      <c r="P98" s="11"/>
      <c r="Q98" s="10"/>
    </row>
    <row r="99" ht="15" customHeight="1" spans="1:17" x14ac:dyDescent="0.25">
      <c r="A99" s="10" t="s">
        <v>1340</v>
      </c>
      <c r="B99" s="11" t="s">
        <v>1341</v>
      </c>
      <c r="C99" s="10" t="s">
        <v>241</v>
      </c>
      <c r="D99" s="10"/>
      <c r="E99" s="10"/>
      <c r="F99" s="10" t="s">
        <v>1184</v>
      </c>
      <c r="G99" s="10"/>
      <c r="H99" s="10" t="s">
        <v>1185</v>
      </c>
      <c r="I99" s="10" t="s">
        <v>1186</v>
      </c>
      <c r="J99" s="10">
        <v>1</v>
      </c>
      <c r="K99" s="10" t="b">
        <f>FALSE()</f>
        <v>0</v>
      </c>
      <c r="L99" s="10"/>
      <c r="M99" s="10" t="s">
        <v>1187</v>
      </c>
      <c r="N99" s="10"/>
      <c r="O99" s="11" t="s">
        <v>1188</v>
      </c>
      <c r="P99" s="11"/>
      <c r="Q99" s="10"/>
    </row>
    <row r="100" ht="15" customHeight="1" spans="1:17" x14ac:dyDescent="0.25">
      <c r="A100" s="10" t="s">
        <v>805</v>
      </c>
      <c r="B100" s="11" t="s">
        <v>806</v>
      </c>
      <c r="C100" s="10" t="s">
        <v>241</v>
      </c>
      <c r="D100" s="10"/>
      <c r="E100" s="10"/>
      <c r="F100" s="10" t="s">
        <v>1184</v>
      </c>
      <c r="G100" s="10"/>
      <c r="H100" s="10" t="s">
        <v>1185</v>
      </c>
      <c r="I100" s="10" t="s">
        <v>1191</v>
      </c>
      <c r="J100" s="10">
        <v>1</v>
      </c>
      <c r="K100" s="10" t="b">
        <f>FALSE()</f>
        <v>0</v>
      </c>
      <c r="L100" s="10"/>
      <c r="M100" s="10" t="s">
        <v>1187</v>
      </c>
      <c r="N100" s="10"/>
      <c r="O100" s="11" t="s">
        <v>1188</v>
      </c>
      <c r="P100" s="11"/>
      <c r="Q100" s="10"/>
    </row>
    <row r="101" ht="15" customHeight="1" spans="1:17" x14ac:dyDescent="0.25">
      <c r="A101" s="10" t="s">
        <v>815</v>
      </c>
      <c r="B101" s="11" t="s">
        <v>816</v>
      </c>
      <c r="C101" s="10" t="s">
        <v>241</v>
      </c>
      <c r="D101" s="10"/>
      <c r="E101" s="10"/>
      <c r="F101" s="10" t="s">
        <v>1184</v>
      </c>
      <c r="G101" s="10" t="s">
        <v>214</v>
      </c>
      <c r="H101" s="10" t="s">
        <v>1185</v>
      </c>
      <c r="I101" s="10" t="s">
        <v>1186</v>
      </c>
      <c r="J101" s="10">
        <v>1</v>
      </c>
      <c r="K101" s="10" t="b">
        <f>FALSE()</f>
        <v>0</v>
      </c>
      <c r="L101" s="10"/>
      <c r="M101" s="10" t="s">
        <v>1187</v>
      </c>
      <c r="N101" s="10"/>
      <c r="O101" s="11" t="s">
        <v>1188</v>
      </c>
      <c r="P101" s="11"/>
      <c r="Q101" s="10"/>
    </row>
    <row r="102" ht="15" customHeight="1" spans="1:17" x14ac:dyDescent="0.25">
      <c r="A102" s="10" t="s">
        <v>1342</v>
      </c>
      <c r="B102" s="11" t="s">
        <v>1343</v>
      </c>
      <c r="C102" s="10" t="s">
        <v>241</v>
      </c>
      <c r="D102" s="10"/>
      <c r="E102" s="10"/>
      <c r="F102" s="10" t="s">
        <v>1184</v>
      </c>
      <c r="G102" s="10"/>
      <c r="H102" s="10" t="s">
        <v>1185</v>
      </c>
      <c r="I102" s="10" t="s">
        <v>1186</v>
      </c>
      <c r="J102" s="10">
        <v>1</v>
      </c>
      <c r="K102" s="10" t="b">
        <f>FALSE()</f>
        <v>0</v>
      </c>
      <c r="L102" s="10"/>
      <c r="M102" s="10" t="s">
        <v>1187</v>
      </c>
      <c r="N102" s="10"/>
      <c r="O102" s="11" t="s">
        <v>1188</v>
      </c>
      <c r="P102" s="11"/>
      <c r="Q102" s="10"/>
    </row>
    <row r="103" ht="15" customHeight="1" spans="1:17" x14ac:dyDescent="0.25">
      <c r="A103" s="10" t="s">
        <v>824</v>
      </c>
      <c r="B103" s="11" t="s">
        <v>825</v>
      </c>
      <c r="C103" s="10" t="s">
        <v>130</v>
      </c>
      <c r="D103" s="10"/>
      <c r="E103" s="10"/>
      <c r="F103" s="10" t="s">
        <v>1184</v>
      </c>
      <c r="G103" s="10" t="s">
        <v>214</v>
      </c>
      <c r="H103" s="10" t="s">
        <v>1185</v>
      </c>
      <c r="I103" s="10" t="s">
        <v>1186</v>
      </c>
      <c r="J103" s="10">
        <v>1</v>
      </c>
      <c r="K103" s="10" t="b">
        <f>FALSE()</f>
        <v>0</v>
      </c>
      <c r="L103" s="10"/>
      <c r="M103" s="10" t="s">
        <v>1187</v>
      </c>
      <c r="N103" s="10"/>
      <c r="O103" s="11" t="s">
        <v>1188</v>
      </c>
      <c r="P103" s="11"/>
      <c r="Q103" s="10"/>
    </row>
    <row r="104" ht="15" customHeight="1" spans="1:17" x14ac:dyDescent="0.25">
      <c r="A104" s="10" t="s">
        <v>1344</v>
      </c>
      <c r="B104" s="11" t="s">
        <v>1345</v>
      </c>
      <c r="C104" s="10" t="s">
        <v>241</v>
      </c>
      <c r="D104" s="10"/>
      <c r="E104" s="10"/>
      <c r="F104" s="10" t="s">
        <v>1184</v>
      </c>
      <c r="G104" s="10"/>
      <c r="H104" s="10" t="s">
        <v>1185</v>
      </c>
      <c r="I104" s="10" t="s">
        <v>132</v>
      </c>
      <c r="J104" s="10">
        <v>2</v>
      </c>
      <c r="K104" s="10" t="b">
        <f>FALSE()</f>
        <v>0</v>
      </c>
      <c r="L104" s="10"/>
      <c r="M104" s="10" t="s">
        <v>1296</v>
      </c>
      <c r="N104" s="10"/>
      <c r="O104" s="11" t="s">
        <v>1346</v>
      </c>
      <c r="P104" s="11"/>
      <c r="Q104" s="10"/>
    </row>
    <row r="105" ht="15" customHeight="1" spans="1:17" x14ac:dyDescent="0.25">
      <c r="A105" s="10" t="s">
        <v>1347</v>
      </c>
      <c r="B105" s="11" t="s">
        <v>1348</v>
      </c>
      <c r="C105" s="10" t="s">
        <v>241</v>
      </c>
      <c r="D105" s="10"/>
      <c r="E105" s="10"/>
      <c r="F105" s="10" t="s">
        <v>1184</v>
      </c>
      <c r="G105" s="10"/>
      <c r="H105" s="10" t="s">
        <v>1185</v>
      </c>
      <c r="I105" s="10" t="s">
        <v>112</v>
      </c>
      <c r="J105" s="10">
        <v>3</v>
      </c>
      <c r="K105" s="10" t="b">
        <f>FALSE()</f>
        <v>0</v>
      </c>
      <c r="L105" s="10"/>
      <c r="M105" s="10" t="s">
        <v>1349</v>
      </c>
      <c r="N105" s="10"/>
      <c r="O105" s="11" t="s">
        <v>1350</v>
      </c>
      <c r="P105" s="11"/>
      <c r="Q105" s="10"/>
    </row>
    <row r="106" ht="15" customHeight="1" spans="1:17" x14ac:dyDescent="0.25">
      <c r="A106" s="10" t="s">
        <v>1351</v>
      </c>
      <c r="B106" s="11" t="s">
        <v>1352</v>
      </c>
      <c r="C106" s="10" t="s">
        <v>241</v>
      </c>
      <c r="D106" s="10"/>
      <c r="E106" s="10"/>
      <c r="F106" s="10" t="s">
        <v>1184</v>
      </c>
      <c r="G106" s="10"/>
      <c r="H106" s="10" t="s">
        <v>1185</v>
      </c>
      <c r="I106" s="10" t="s">
        <v>1186</v>
      </c>
      <c r="J106" s="10">
        <v>1</v>
      </c>
      <c r="K106" s="10" t="b">
        <f>FALSE()</f>
        <v>0</v>
      </c>
      <c r="L106" s="10"/>
      <c r="M106" s="10" t="s">
        <v>1187</v>
      </c>
      <c r="N106" s="10"/>
      <c r="O106" s="11" t="s">
        <v>1188</v>
      </c>
      <c r="P106" s="11"/>
      <c r="Q106" s="10"/>
    </row>
    <row r="107" ht="15" customHeight="1" spans="1:17" x14ac:dyDescent="0.25">
      <c r="A107" s="10" t="s">
        <v>831</v>
      </c>
      <c r="B107" s="11" t="s">
        <v>832</v>
      </c>
      <c r="C107" s="10" t="s">
        <v>241</v>
      </c>
      <c r="D107" s="10"/>
      <c r="E107" s="10"/>
      <c r="F107" s="10" t="s">
        <v>1184</v>
      </c>
      <c r="G107" s="10" t="s">
        <v>833</v>
      </c>
      <c r="H107" s="10" t="s">
        <v>1185</v>
      </c>
      <c r="I107" s="10" t="s">
        <v>1186</v>
      </c>
      <c r="J107" s="10">
        <v>1</v>
      </c>
      <c r="K107" s="10" t="b">
        <f>FALSE()</f>
        <v>0</v>
      </c>
      <c r="L107" s="10"/>
      <c r="M107" s="10" t="s">
        <v>1187</v>
      </c>
      <c r="N107" s="10"/>
      <c r="O107" s="11" t="s">
        <v>1188</v>
      </c>
      <c r="P107" s="11"/>
      <c r="Q107" s="10"/>
    </row>
    <row r="108" ht="15" customHeight="1" spans="1:17" x14ac:dyDescent="0.25">
      <c r="A108" s="10" t="s">
        <v>839</v>
      </c>
      <c r="B108" s="11" t="s">
        <v>840</v>
      </c>
      <c r="C108" s="10" t="s">
        <v>241</v>
      </c>
      <c r="D108" s="10"/>
      <c r="E108" s="10"/>
      <c r="F108" s="10" t="s">
        <v>1184</v>
      </c>
      <c r="G108" s="10" t="s">
        <v>214</v>
      </c>
      <c r="H108" s="10" t="s">
        <v>1185</v>
      </c>
      <c r="I108" s="10" t="s">
        <v>1186</v>
      </c>
      <c r="J108" s="10">
        <v>1</v>
      </c>
      <c r="K108" s="10" t="b">
        <f>FALSE()</f>
        <v>0</v>
      </c>
      <c r="L108" s="10"/>
      <c r="M108" s="10" t="s">
        <v>1187</v>
      </c>
      <c r="N108" s="10"/>
      <c r="O108" s="11" t="s">
        <v>1188</v>
      </c>
      <c r="P108" s="11"/>
      <c r="Q108" s="10"/>
    </row>
    <row r="109" ht="15" customHeight="1" spans="1:17" x14ac:dyDescent="0.25">
      <c r="A109" s="10" t="s">
        <v>1353</v>
      </c>
      <c r="B109" s="11" t="s">
        <v>1354</v>
      </c>
      <c r="C109" s="10" t="s">
        <v>241</v>
      </c>
      <c r="D109" s="10"/>
      <c r="E109" s="10"/>
      <c r="F109" s="10" t="s">
        <v>1184</v>
      </c>
      <c r="G109" s="10"/>
      <c r="H109" s="10" t="s">
        <v>1185</v>
      </c>
      <c r="I109" s="10" t="s">
        <v>1186</v>
      </c>
      <c r="J109" s="10">
        <v>1</v>
      </c>
      <c r="K109" s="10" t="b">
        <f>FALSE()</f>
        <v>0</v>
      </c>
      <c r="L109" s="10"/>
      <c r="M109" s="10" t="s">
        <v>1187</v>
      </c>
      <c r="N109" s="10"/>
      <c r="O109" s="11" t="s">
        <v>1188</v>
      </c>
      <c r="P109" s="11"/>
      <c r="Q109" s="10"/>
    </row>
    <row r="110" ht="15" customHeight="1" spans="1:17" x14ac:dyDescent="0.25">
      <c r="A110" s="10" t="s">
        <v>1355</v>
      </c>
      <c r="B110" s="11" t="s">
        <v>1356</v>
      </c>
      <c r="C110" s="10" t="s">
        <v>241</v>
      </c>
      <c r="D110" s="10"/>
      <c r="E110" s="10"/>
      <c r="F110" s="10" t="s">
        <v>1184</v>
      </c>
      <c r="G110" s="10"/>
      <c r="H110" s="10" t="s">
        <v>1185</v>
      </c>
      <c r="I110" s="10" t="s">
        <v>1186</v>
      </c>
      <c r="J110" s="10">
        <v>1</v>
      </c>
      <c r="K110" s="10" t="b">
        <f>FALSE()</f>
        <v>0</v>
      </c>
      <c r="L110" s="10"/>
      <c r="M110" s="10" t="s">
        <v>1187</v>
      </c>
      <c r="N110" s="10"/>
      <c r="O110" s="11" t="s">
        <v>1188</v>
      </c>
      <c r="P110" s="11"/>
      <c r="Q110" s="10"/>
    </row>
    <row r="111" ht="15" customHeight="1" spans="1:17" x14ac:dyDescent="0.25">
      <c r="A111" s="10" t="s">
        <v>851</v>
      </c>
      <c r="B111" s="11" t="s">
        <v>852</v>
      </c>
      <c r="C111" s="10" t="s">
        <v>241</v>
      </c>
      <c r="D111" s="10"/>
      <c r="E111" s="10"/>
      <c r="F111" s="10" t="s">
        <v>1184</v>
      </c>
      <c r="G111" s="10" t="s">
        <v>854</v>
      </c>
      <c r="H111" s="10" t="s">
        <v>1185</v>
      </c>
      <c r="I111" s="10" t="s">
        <v>1186</v>
      </c>
      <c r="J111" s="10">
        <v>1</v>
      </c>
      <c r="K111" s="10" t="b">
        <f>FALSE()</f>
        <v>0</v>
      </c>
      <c r="L111" s="10"/>
      <c r="M111" s="10" t="s">
        <v>1187</v>
      </c>
      <c r="N111" s="10"/>
      <c r="O111" s="11" t="s">
        <v>1188</v>
      </c>
      <c r="P111" s="11"/>
      <c r="Q111" s="10"/>
    </row>
    <row r="112" ht="15" customHeight="1" spans="1:17" x14ac:dyDescent="0.25">
      <c r="A112" s="10" t="s">
        <v>1357</v>
      </c>
      <c r="B112" s="11" t="s">
        <v>1358</v>
      </c>
      <c r="C112" s="10" t="s">
        <v>241</v>
      </c>
      <c r="D112" s="10"/>
      <c r="E112" s="10"/>
      <c r="F112" s="10" t="s">
        <v>1184</v>
      </c>
      <c r="G112" s="10"/>
      <c r="H112" s="10" t="s">
        <v>1185</v>
      </c>
      <c r="I112" s="10" t="s">
        <v>1186</v>
      </c>
      <c r="J112" s="10">
        <v>1</v>
      </c>
      <c r="K112" s="10" t="b">
        <f>FALSE()</f>
        <v>0</v>
      </c>
      <c r="L112" s="10"/>
      <c r="M112" s="10" t="s">
        <v>1187</v>
      </c>
      <c r="N112" s="10"/>
      <c r="O112" s="11" t="s">
        <v>1188</v>
      </c>
      <c r="P112" s="11"/>
      <c r="Q112" s="10"/>
    </row>
    <row r="113" ht="15" customHeight="1" spans="1:17" x14ac:dyDescent="0.25">
      <c r="A113" s="10" t="s">
        <v>1359</v>
      </c>
      <c r="B113" s="11" t="s">
        <v>1360</v>
      </c>
      <c r="C113" s="10" t="s">
        <v>241</v>
      </c>
      <c r="D113" s="10"/>
      <c r="E113" s="10"/>
      <c r="F113" s="10" t="s">
        <v>1184</v>
      </c>
      <c r="G113" s="10"/>
      <c r="H113" s="10" t="s">
        <v>1185</v>
      </c>
      <c r="I113" s="10" t="s">
        <v>1186</v>
      </c>
      <c r="J113" s="10">
        <v>1</v>
      </c>
      <c r="K113" s="10" t="b">
        <f>FALSE()</f>
        <v>0</v>
      </c>
      <c r="L113" s="10"/>
      <c r="M113" s="10" t="s">
        <v>1187</v>
      </c>
      <c r="N113" s="10"/>
      <c r="O113" s="11" t="s">
        <v>1188</v>
      </c>
      <c r="P113" s="11"/>
      <c r="Q113" s="10"/>
    </row>
    <row r="114" ht="15" customHeight="1" spans="1:17" x14ac:dyDescent="0.25">
      <c r="A114" s="10" t="s">
        <v>1361</v>
      </c>
      <c r="B114" s="11" t="s">
        <v>1362</v>
      </c>
      <c r="C114" s="10" t="s">
        <v>241</v>
      </c>
      <c r="D114" s="10"/>
      <c r="E114" s="10"/>
      <c r="F114" s="10" t="s">
        <v>1184</v>
      </c>
      <c r="G114" s="10"/>
      <c r="H114" s="10" t="s">
        <v>1185</v>
      </c>
      <c r="I114" s="10" t="s">
        <v>1186</v>
      </c>
      <c r="J114" s="10">
        <v>1</v>
      </c>
      <c r="K114" s="10" t="b">
        <f>FALSE()</f>
        <v>0</v>
      </c>
      <c r="L114" s="10"/>
      <c r="M114" s="10" t="s">
        <v>1187</v>
      </c>
      <c r="N114" s="10"/>
      <c r="O114" s="11" t="s">
        <v>1188</v>
      </c>
      <c r="P114" s="11"/>
      <c r="Q114" s="10"/>
    </row>
    <row r="115" ht="15" customHeight="1" spans="1:17" x14ac:dyDescent="0.25">
      <c r="A115" s="10" t="s">
        <v>1363</v>
      </c>
      <c r="B115" s="11" t="s">
        <v>443</v>
      </c>
      <c r="C115" s="10" t="s">
        <v>241</v>
      </c>
      <c r="D115" s="10"/>
      <c r="E115" s="10"/>
      <c r="F115" s="10" t="s">
        <v>1184</v>
      </c>
      <c r="G115" s="10"/>
      <c r="H115" s="10" t="s">
        <v>1185</v>
      </c>
      <c r="I115" s="10" t="s">
        <v>112</v>
      </c>
      <c r="J115" s="10">
        <v>3</v>
      </c>
      <c r="K115" s="10" t="b">
        <f>FALSE()</f>
        <v>0</v>
      </c>
      <c r="L115" s="10"/>
      <c r="M115" s="10" t="s">
        <v>1349</v>
      </c>
      <c r="N115" s="10"/>
      <c r="O115" s="11" t="s">
        <v>1364</v>
      </c>
      <c r="P115" s="11"/>
      <c r="Q115" s="10"/>
    </row>
    <row r="116" ht="15" customHeight="1" spans="1:17" x14ac:dyDescent="0.25">
      <c r="A116" s="10" t="s">
        <v>864</v>
      </c>
      <c r="B116" s="11" t="s">
        <v>865</v>
      </c>
      <c r="C116" s="10" t="s">
        <v>241</v>
      </c>
      <c r="D116" s="10"/>
      <c r="E116" s="10"/>
      <c r="F116" s="10" t="s">
        <v>1184</v>
      </c>
      <c r="G116" s="10" t="s">
        <v>167</v>
      </c>
      <c r="H116" s="10" t="s">
        <v>1185</v>
      </c>
      <c r="I116" s="10" t="s">
        <v>1191</v>
      </c>
      <c r="J116" s="10">
        <v>1</v>
      </c>
      <c r="K116" s="10" t="b">
        <f>FALSE()</f>
        <v>0</v>
      </c>
      <c r="L116" s="10"/>
      <c r="M116" s="10" t="s">
        <v>1187</v>
      </c>
      <c r="N116" s="10"/>
      <c r="O116" s="11" t="s">
        <v>1188</v>
      </c>
      <c r="P116" s="11"/>
      <c r="Q116" s="10"/>
    </row>
    <row r="117" ht="15" customHeight="1" spans="1:17" x14ac:dyDescent="0.25">
      <c r="A117" s="10" t="s">
        <v>1365</v>
      </c>
      <c r="B117" s="11" t="s">
        <v>1366</v>
      </c>
      <c r="C117" s="10" t="s">
        <v>241</v>
      </c>
      <c r="D117" s="10"/>
      <c r="E117" s="10"/>
      <c r="F117" s="10" t="s">
        <v>1184</v>
      </c>
      <c r="G117" s="10"/>
      <c r="H117" s="10" t="s">
        <v>1185</v>
      </c>
      <c r="I117" s="10" t="s">
        <v>1191</v>
      </c>
      <c r="J117" s="10">
        <v>1</v>
      </c>
      <c r="K117" s="10" t="b">
        <f>FALSE()</f>
        <v>0</v>
      </c>
      <c r="L117" s="10"/>
      <c r="M117" s="10" t="s">
        <v>1187</v>
      </c>
      <c r="N117" s="10"/>
      <c r="O117" s="11" t="s">
        <v>1188</v>
      </c>
      <c r="P117" s="11"/>
      <c r="Q117" s="10"/>
    </row>
    <row r="118" ht="15" customHeight="1" spans="1:17" x14ac:dyDescent="0.25">
      <c r="A118" s="10" t="s">
        <v>1367</v>
      </c>
      <c r="B118" s="11" t="s">
        <v>1368</v>
      </c>
      <c r="C118" s="10" t="s">
        <v>241</v>
      </c>
      <c r="D118" s="10"/>
      <c r="E118" s="10"/>
      <c r="F118" s="10" t="s">
        <v>1184</v>
      </c>
      <c r="G118" s="10"/>
      <c r="H118" s="10" t="s">
        <v>1185</v>
      </c>
      <c r="I118" s="10" t="s">
        <v>160</v>
      </c>
      <c r="J118" s="10">
        <v>2</v>
      </c>
      <c r="K118" s="10" t="b">
        <f>FALSE()</f>
        <v>0</v>
      </c>
      <c r="L118" s="10"/>
      <c r="M118" s="10" t="s">
        <v>1296</v>
      </c>
      <c r="N118" s="10"/>
      <c r="O118" s="11" t="s">
        <v>1297</v>
      </c>
      <c r="P118" s="11"/>
      <c r="Q118" s="10"/>
    </row>
    <row r="119" ht="15" customHeight="1" spans="1:17" x14ac:dyDescent="0.25">
      <c r="A119" s="10" t="s">
        <v>1369</v>
      </c>
      <c r="B119" s="11" t="s">
        <v>1370</v>
      </c>
      <c r="C119" s="10" t="s">
        <v>241</v>
      </c>
      <c r="D119" s="10"/>
      <c r="E119" s="10"/>
      <c r="F119" s="10" t="s">
        <v>1184</v>
      </c>
      <c r="G119" s="10"/>
      <c r="H119" s="10" t="s">
        <v>1185</v>
      </c>
      <c r="I119" s="10" t="s">
        <v>1194</v>
      </c>
      <c r="J119" s="10">
        <v>1</v>
      </c>
      <c r="K119" s="10" t="b">
        <f>FALSE()</f>
        <v>0</v>
      </c>
      <c r="L119" s="10"/>
      <c r="M119" s="10" t="s">
        <v>1187</v>
      </c>
      <c r="N119" s="10"/>
      <c r="O119" s="11" t="s">
        <v>1188</v>
      </c>
      <c r="P119" s="11"/>
      <c r="Q119" s="10"/>
    </row>
    <row r="120" ht="15" customHeight="1" spans="1:17" x14ac:dyDescent="0.25">
      <c r="A120" s="10" t="s">
        <v>1371</v>
      </c>
      <c r="B120" s="11" t="s">
        <v>1372</v>
      </c>
      <c r="C120" s="10" t="s">
        <v>241</v>
      </c>
      <c r="D120" s="10"/>
      <c r="E120" s="10"/>
      <c r="F120" s="10" t="s">
        <v>1184</v>
      </c>
      <c r="G120" s="10"/>
      <c r="H120" s="10" t="s">
        <v>1185</v>
      </c>
      <c r="I120" s="10" t="s">
        <v>1194</v>
      </c>
      <c r="J120" s="10">
        <v>1</v>
      </c>
      <c r="K120" s="10" t="b">
        <f>FALSE()</f>
        <v>0</v>
      </c>
      <c r="L120" s="10"/>
      <c r="M120" s="10" t="s">
        <v>1187</v>
      </c>
      <c r="N120" s="10"/>
      <c r="O120" s="11" t="s">
        <v>1188</v>
      </c>
      <c r="P120" s="11"/>
      <c r="Q120" s="10"/>
    </row>
    <row r="121" ht="15" customHeight="1" spans="1:17" x14ac:dyDescent="0.25">
      <c r="A121" s="10" t="s">
        <v>1373</v>
      </c>
      <c r="B121" s="11" t="s">
        <v>1374</v>
      </c>
      <c r="C121" s="10" t="s">
        <v>241</v>
      </c>
      <c r="D121" s="10"/>
      <c r="E121" s="10"/>
      <c r="F121" s="10" t="s">
        <v>1184</v>
      </c>
      <c r="G121" s="10"/>
      <c r="H121" s="10" t="s">
        <v>1185</v>
      </c>
      <c r="I121" s="10" t="s">
        <v>1194</v>
      </c>
      <c r="J121" s="10">
        <v>1</v>
      </c>
      <c r="K121" s="10" t="b">
        <f>FALSE()</f>
        <v>0</v>
      </c>
      <c r="L121" s="10"/>
      <c r="M121" s="10" t="s">
        <v>1187</v>
      </c>
      <c r="N121" s="10"/>
      <c r="O121" s="11" t="s">
        <v>1188</v>
      </c>
      <c r="P121" s="11"/>
      <c r="Q121" s="10"/>
    </row>
    <row r="122" ht="15" customHeight="1" spans="1:17" x14ac:dyDescent="0.25">
      <c r="A122" s="10" t="s">
        <v>1375</v>
      </c>
      <c r="B122" s="11" t="s">
        <v>1376</v>
      </c>
      <c r="C122" s="10" t="s">
        <v>241</v>
      </c>
      <c r="D122" s="10"/>
      <c r="E122" s="10"/>
      <c r="F122" s="10" t="s">
        <v>1184</v>
      </c>
      <c r="G122" s="10"/>
      <c r="H122" s="10" t="s">
        <v>1185</v>
      </c>
      <c r="I122" s="10" t="s">
        <v>1191</v>
      </c>
      <c r="J122" s="10">
        <v>1</v>
      </c>
      <c r="K122" s="10" t="b">
        <f>FALSE()</f>
        <v>0</v>
      </c>
      <c r="L122" s="10"/>
      <c r="M122" s="10" t="s">
        <v>1187</v>
      </c>
      <c r="N122" s="10"/>
      <c r="O122" s="11" t="s">
        <v>1188</v>
      </c>
      <c r="P122" s="11"/>
      <c r="Q122" s="10"/>
    </row>
    <row r="123" ht="15" customHeight="1" spans="1:17" x14ac:dyDescent="0.25">
      <c r="A123" s="10" t="s">
        <v>1377</v>
      </c>
      <c r="B123" s="11" t="s">
        <v>1378</v>
      </c>
      <c r="C123" s="10" t="s">
        <v>241</v>
      </c>
      <c r="D123" s="10"/>
      <c r="E123" s="10"/>
      <c r="F123" s="10" t="s">
        <v>1184</v>
      </c>
      <c r="G123" s="10"/>
      <c r="H123" s="10" t="s">
        <v>1185</v>
      </c>
      <c r="I123" s="10" t="s">
        <v>1191</v>
      </c>
      <c r="J123" s="10">
        <v>1</v>
      </c>
      <c r="K123" s="10" t="b">
        <f>FALSE()</f>
        <v>0</v>
      </c>
      <c r="L123" s="10"/>
      <c r="M123" s="10" t="s">
        <v>1187</v>
      </c>
      <c r="N123" s="10"/>
      <c r="O123" s="11" t="s">
        <v>1188</v>
      </c>
      <c r="P123" s="11"/>
      <c r="Q123" s="10"/>
    </row>
    <row r="124" ht="15" customHeight="1" spans="1:17" x14ac:dyDescent="0.25">
      <c r="A124" s="10" t="s">
        <v>1379</v>
      </c>
      <c r="B124" s="11" t="s">
        <v>1380</v>
      </c>
      <c r="C124" s="10" t="s">
        <v>241</v>
      </c>
      <c r="D124" s="10"/>
      <c r="E124" s="10"/>
      <c r="F124" s="10" t="s">
        <v>1184</v>
      </c>
      <c r="G124" s="10"/>
      <c r="H124" s="10" t="s">
        <v>1185</v>
      </c>
      <c r="I124" s="10" t="s">
        <v>160</v>
      </c>
      <c r="J124" s="10">
        <v>2</v>
      </c>
      <c r="K124" s="10" t="b">
        <f>FALSE()</f>
        <v>0</v>
      </c>
      <c r="L124" s="10"/>
      <c r="M124" s="10" t="s">
        <v>1296</v>
      </c>
      <c r="N124" s="10"/>
      <c r="O124" s="11" t="s">
        <v>1297</v>
      </c>
      <c r="P124" s="11"/>
      <c r="Q124" s="10"/>
    </row>
    <row r="125" ht="15" customHeight="1" spans="1:17" x14ac:dyDescent="0.25">
      <c r="A125" s="10" t="s">
        <v>876</v>
      </c>
      <c r="B125" s="11" t="s">
        <v>877</v>
      </c>
      <c r="C125" s="10" t="s">
        <v>241</v>
      </c>
      <c r="D125" s="10"/>
      <c r="E125" s="10"/>
      <c r="F125" s="10" t="s">
        <v>1184</v>
      </c>
      <c r="G125" s="10" t="s">
        <v>117</v>
      </c>
      <c r="H125" s="10" t="s">
        <v>1185</v>
      </c>
      <c r="I125" s="10" t="s">
        <v>1186</v>
      </c>
      <c r="J125" s="10">
        <v>1</v>
      </c>
      <c r="K125" s="10" t="b">
        <f>FALSE()</f>
        <v>0</v>
      </c>
      <c r="L125" s="10"/>
      <c r="M125" s="10" t="s">
        <v>1187</v>
      </c>
      <c r="N125" s="10"/>
      <c r="O125" s="11" t="s">
        <v>1188</v>
      </c>
      <c r="P125" s="11"/>
      <c r="Q125" s="10"/>
    </row>
    <row r="126" ht="15" customHeight="1" spans="1:17" x14ac:dyDescent="0.25">
      <c r="A126" s="10" t="s">
        <v>880</v>
      </c>
      <c r="B126" s="11" t="s">
        <v>881</v>
      </c>
      <c r="C126" s="10" t="s">
        <v>241</v>
      </c>
      <c r="D126" s="10"/>
      <c r="E126" s="10"/>
      <c r="F126" s="10" t="s">
        <v>1184</v>
      </c>
      <c r="G126" s="10" t="s">
        <v>706</v>
      </c>
      <c r="H126" s="10" t="s">
        <v>1185</v>
      </c>
      <c r="I126" s="10" t="s">
        <v>1186</v>
      </c>
      <c r="J126" s="10">
        <v>1</v>
      </c>
      <c r="K126" s="10" t="b">
        <f>FALSE()</f>
        <v>0</v>
      </c>
      <c r="L126" s="10"/>
      <c r="M126" s="10" t="s">
        <v>1187</v>
      </c>
      <c r="N126" s="10"/>
      <c r="O126" s="11" t="s">
        <v>1188</v>
      </c>
      <c r="P126" s="11"/>
      <c r="Q126" s="10"/>
    </row>
    <row r="127" ht="15" customHeight="1" spans="1:17" x14ac:dyDescent="0.25">
      <c r="A127" s="10" t="s">
        <v>1381</v>
      </c>
      <c r="B127" s="11" t="s">
        <v>1382</v>
      </c>
      <c r="C127" s="10" t="s">
        <v>241</v>
      </c>
      <c r="D127" s="10"/>
      <c r="E127" s="10"/>
      <c r="F127" s="10" t="s">
        <v>1184</v>
      </c>
      <c r="G127" s="10"/>
      <c r="H127" s="10" t="s">
        <v>1185</v>
      </c>
      <c r="I127" s="10" t="s">
        <v>1186</v>
      </c>
      <c r="J127" s="10">
        <v>1</v>
      </c>
      <c r="K127" s="10" t="b">
        <f>FALSE()</f>
        <v>0</v>
      </c>
      <c r="L127" s="10"/>
      <c r="M127" s="10" t="s">
        <v>1187</v>
      </c>
      <c r="N127" s="10"/>
      <c r="O127" s="11" t="s">
        <v>1188</v>
      </c>
      <c r="P127" s="11"/>
      <c r="Q127" s="10"/>
    </row>
    <row r="128" ht="15" customHeight="1" spans="1:17" x14ac:dyDescent="0.25">
      <c r="A128" s="10" t="s">
        <v>1383</v>
      </c>
      <c r="B128" s="11" t="s">
        <v>1384</v>
      </c>
      <c r="C128" s="10" t="s">
        <v>241</v>
      </c>
      <c r="D128" s="10"/>
      <c r="E128" s="10"/>
      <c r="F128" s="10" t="s">
        <v>1184</v>
      </c>
      <c r="G128" s="10"/>
      <c r="H128" s="10" t="s">
        <v>1185</v>
      </c>
      <c r="I128" s="10" t="s">
        <v>1194</v>
      </c>
      <c r="J128" s="10">
        <v>1</v>
      </c>
      <c r="K128" s="10" t="b">
        <f>FALSE()</f>
        <v>0</v>
      </c>
      <c r="L128" s="10"/>
      <c r="M128" s="10" t="s">
        <v>1187</v>
      </c>
      <c r="N128" s="10"/>
      <c r="O128" s="11" t="s">
        <v>1188</v>
      </c>
      <c r="P128" s="11"/>
      <c r="Q128" s="10"/>
    </row>
    <row r="129" ht="15" customHeight="1" spans="1:17" x14ac:dyDescent="0.25">
      <c r="A129" s="10" t="s">
        <v>1385</v>
      </c>
      <c r="B129" s="11" t="s">
        <v>1386</v>
      </c>
      <c r="C129" s="10" t="s">
        <v>241</v>
      </c>
      <c r="D129" s="10"/>
      <c r="E129" s="10"/>
      <c r="F129" s="10" t="s">
        <v>1184</v>
      </c>
      <c r="G129" s="10"/>
      <c r="H129" s="10" t="s">
        <v>1185</v>
      </c>
      <c r="I129" s="10" t="s">
        <v>1186</v>
      </c>
      <c r="J129" s="10">
        <v>1</v>
      </c>
      <c r="K129" s="10" t="b">
        <f>FALSE()</f>
        <v>0</v>
      </c>
      <c r="L129" s="10"/>
      <c r="M129" s="10" t="s">
        <v>1187</v>
      </c>
      <c r="N129" s="10"/>
      <c r="O129" s="11" t="s">
        <v>1188</v>
      </c>
      <c r="P129" s="11"/>
      <c r="Q129" s="10"/>
    </row>
    <row r="130" ht="15" customHeight="1" spans="1:17" x14ac:dyDescent="0.25">
      <c r="A130" s="10" t="s">
        <v>1387</v>
      </c>
      <c r="B130" s="11" t="s">
        <v>1388</v>
      </c>
      <c r="C130" s="10" t="s">
        <v>241</v>
      </c>
      <c r="D130" s="10"/>
      <c r="E130" s="10"/>
      <c r="F130" s="10" t="s">
        <v>1184</v>
      </c>
      <c r="G130" s="10"/>
      <c r="H130" s="10" t="s">
        <v>1185</v>
      </c>
      <c r="I130" s="10" t="s">
        <v>1186</v>
      </c>
      <c r="J130" s="10">
        <v>1</v>
      </c>
      <c r="K130" s="10" t="b">
        <f>FALSE()</f>
        <v>0</v>
      </c>
      <c r="L130" s="10"/>
      <c r="M130" s="10" t="s">
        <v>1187</v>
      </c>
      <c r="N130" s="10"/>
      <c r="O130" s="11" t="s">
        <v>1188</v>
      </c>
      <c r="P130" s="11"/>
      <c r="Q130" s="10"/>
    </row>
    <row r="131" ht="15" customHeight="1" spans="1:17" x14ac:dyDescent="0.25">
      <c r="A131" s="10" t="s">
        <v>1389</v>
      </c>
      <c r="B131" s="11" t="s">
        <v>1390</v>
      </c>
      <c r="C131" s="10" t="s">
        <v>241</v>
      </c>
      <c r="D131" s="10"/>
      <c r="E131" s="10"/>
      <c r="F131" s="10" t="s">
        <v>1184</v>
      </c>
      <c r="G131" s="10"/>
      <c r="H131" s="10" t="s">
        <v>1185</v>
      </c>
      <c r="I131" s="10" t="s">
        <v>1186</v>
      </c>
      <c r="J131" s="10">
        <v>1</v>
      </c>
      <c r="K131" s="10" t="b">
        <f>FALSE()</f>
        <v>0</v>
      </c>
      <c r="L131" s="10"/>
      <c r="M131" s="10" t="s">
        <v>1187</v>
      </c>
      <c r="N131" s="10"/>
      <c r="O131" s="11" t="s">
        <v>1188</v>
      </c>
      <c r="P131" s="11"/>
      <c r="Q131" s="10"/>
    </row>
    <row r="132" ht="15" customHeight="1" spans="1:17" x14ac:dyDescent="0.25">
      <c r="A132" s="10" t="s">
        <v>1391</v>
      </c>
      <c r="B132" s="11" t="s">
        <v>1392</v>
      </c>
      <c r="C132" s="10" t="s">
        <v>241</v>
      </c>
      <c r="D132" s="10"/>
      <c r="E132" s="10"/>
      <c r="F132" s="10" t="s">
        <v>1184</v>
      </c>
      <c r="G132" s="10"/>
      <c r="H132" s="10" t="s">
        <v>1185</v>
      </c>
      <c r="I132" s="10" t="s">
        <v>1186</v>
      </c>
      <c r="J132" s="10">
        <v>1</v>
      </c>
      <c r="K132" s="10" t="b">
        <f>FALSE()</f>
        <v>0</v>
      </c>
      <c r="L132" s="10"/>
      <c r="M132" s="10" t="s">
        <v>1187</v>
      </c>
      <c r="N132" s="10"/>
      <c r="O132" s="11" t="s">
        <v>1188</v>
      </c>
      <c r="P132" s="11"/>
      <c r="Q132" s="10"/>
    </row>
    <row r="133" ht="15" customHeight="1" spans="1:17" x14ac:dyDescent="0.25">
      <c r="A133" s="10" t="s">
        <v>1393</v>
      </c>
      <c r="B133" s="11" t="s">
        <v>1394</v>
      </c>
      <c r="C133" s="10" t="s">
        <v>241</v>
      </c>
      <c r="D133" s="10"/>
      <c r="E133" s="10"/>
      <c r="F133" s="10" t="s">
        <v>1184</v>
      </c>
      <c r="G133" s="10"/>
      <c r="H133" s="10" t="s">
        <v>1185</v>
      </c>
      <c r="I133" s="10" t="s">
        <v>1186</v>
      </c>
      <c r="J133" s="10">
        <v>1</v>
      </c>
      <c r="K133" s="10" t="b">
        <f>FALSE()</f>
        <v>0</v>
      </c>
      <c r="L133" s="10"/>
      <c r="M133" s="10" t="s">
        <v>1187</v>
      </c>
      <c r="N133" s="10"/>
      <c r="O133" s="11" t="s">
        <v>1188</v>
      </c>
      <c r="P133" s="11"/>
      <c r="Q133" s="10"/>
    </row>
    <row r="134" ht="15" customHeight="1" spans="1:17" x14ac:dyDescent="0.25">
      <c r="A134" s="10" t="s">
        <v>1395</v>
      </c>
      <c r="B134" s="11" t="s">
        <v>1396</v>
      </c>
      <c r="C134" s="10" t="s">
        <v>241</v>
      </c>
      <c r="D134" s="10"/>
      <c r="E134" s="10"/>
      <c r="F134" s="10" t="s">
        <v>1184</v>
      </c>
      <c r="G134" s="10"/>
      <c r="H134" s="10" t="s">
        <v>1185</v>
      </c>
      <c r="I134" s="10" t="s">
        <v>1186</v>
      </c>
      <c r="J134" s="10">
        <v>1</v>
      </c>
      <c r="K134" s="10" t="b">
        <f>FALSE()</f>
        <v>0</v>
      </c>
      <c r="L134" s="10"/>
      <c r="M134" s="10" t="s">
        <v>1187</v>
      </c>
      <c r="N134" s="10"/>
      <c r="O134" s="11" t="s">
        <v>1188</v>
      </c>
      <c r="P134" s="11"/>
      <c r="Q134" s="10"/>
    </row>
    <row r="135" ht="15" customHeight="1" spans="1:17" x14ac:dyDescent="0.25">
      <c r="A135" s="10" t="s">
        <v>1397</v>
      </c>
      <c r="B135" s="11" t="s">
        <v>1398</v>
      </c>
      <c r="C135" s="10" t="s">
        <v>241</v>
      </c>
      <c r="D135" s="10"/>
      <c r="E135" s="10"/>
      <c r="F135" s="10" t="s">
        <v>1184</v>
      </c>
      <c r="G135" s="10"/>
      <c r="H135" s="10" t="s">
        <v>1185</v>
      </c>
      <c r="I135" s="10" t="s">
        <v>1186</v>
      </c>
      <c r="J135" s="10">
        <v>1</v>
      </c>
      <c r="K135" s="10" t="b">
        <f>FALSE()</f>
        <v>0</v>
      </c>
      <c r="L135" s="10"/>
      <c r="M135" s="10" t="s">
        <v>1187</v>
      </c>
      <c r="N135" s="10"/>
      <c r="O135" s="11" t="s">
        <v>1188</v>
      </c>
      <c r="P135" s="11"/>
      <c r="Q135" s="10"/>
    </row>
    <row r="136" ht="15" customHeight="1" spans="1:17" x14ac:dyDescent="0.25">
      <c r="A136" s="10" t="s">
        <v>1399</v>
      </c>
      <c r="B136" s="11" t="s">
        <v>1400</v>
      </c>
      <c r="C136" s="10" t="s">
        <v>241</v>
      </c>
      <c r="D136" s="10"/>
      <c r="E136" s="10"/>
      <c r="F136" s="10" t="s">
        <v>1184</v>
      </c>
      <c r="G136" s="10"/>
      <c r="H136" s="10" t="s">
        <v>1185</v>
      </c>
      <c r="I136" s="10" t="s">
        <v>1191</v>
      </c>
      <c r="J136" s="10">
        <v>1</v>
      </c>
      <c r="K136" s="10" t="b">
        <f>FALSE()</f>
        <v>0</v>
      </c>
      <c r="L136" s="10"/>
      <c r="M136" s="10" t="s">
        <v>1187</v>
      </c>
      <c r="N136" s="10"/>
      <c r="O136" s="11" t="s">
        <v>1188</v>
      </c>
      <c r="P136" s="11"/>
      <c r="Q136" s="10"/>
    </row>
    <row r="137" ht="15" customHeight="1" spans="1:17" x14ac:dyDescent="0.25">
      <c r="A137" s="10" t="s">
        <v>1401</v>
      </c>
      <c r="B137" s="11" t="s">
        <v>1402</v>
      </c>
      <c r="C137" s="10" t="s">
        <v>241</v>
      </c>
      <c r="D137" s="10"/>
      <c r="E137" s="10"/>
      <c r="F137" s="10" t="s">
        <v>1184</v>
      </c>
      <c r="G137" s="10"/>
      <c r="H137" s="10" t="s">
        <v>1185</v>
      </c>
      <c r="I137" s="10" t="s">
        <v>1186</v>
      </c>
      <c r="J137" s="10">
        <v>1</v>
      </c>
      <c r="K137" s="10" t="b">
        <f>FALSE()</f>
        <v>0</v>
      </c>
      <c r="L137" s="10"/>
      <c r="M137" s="10" t="s">
        <v>1187</v>
      </c>
      <c r="N137" s="10"/>
      <c r="O137" s="11" t="s">
        <v>1188</v>
      </c>
      <c r="P137" s="11"/>
      <c r="Q137" s="10"/>
    </row>
    <row r="138" ht="15" customHeight="1" spans="1:17" x14ac:dyDescent="0.25">
      <c r="A138" s="10" t="s">
        <v>1403</v>
      </c>
      <c r="B138" s="11" t="s">
        <v>1404</v>
      </c>
      <c r="C138" s="10" t="s">
        <v>241</v>
      </c>
      <c r="D138" s="10"/>
      <c r="E138" s="10"/>
      <c r="F138" s="10" t="s">
        <v>1184</v>
      </c>
      <c r="G138" s="10"/>
      <c r="H138" s="10" t="s">
        <v>1185</v>
      </c>
      <c r="I138" s="10" t="s">
        <v>1186</v>
      </c>
      <c r="J138" s="10">
        <v>1</v>
      </c>
      <c r="K138" s="10" t="b">
        <f>FALSE()</f>
        <v>0</v>
      </c>
      <c r="L138" s="10"/>
      <c r="M138" s="10" t="s">
        <v>1187</v>
      </c>
      <c r="N138" s="10"/>
      <c r="O138" s="11" t="s">
        <v>1188</v>
      </c>
      <c r="P138" s="11"/>
      <c r="Q138" s="10"/>
    </row>
    <row r="139" ht="15" customHeight="1" spans="1:17" x14ac:dyDescent="0.25">
      <c r="A139" s="10" t="s">
        <v>1405</v>
      </c>
      <c r="B139" s="11" t="s">
        <v>1406</v>
      </c>
      <c r="C139" s="10" t="s">
        <v>241</v>
      </c>
      <c r="D139" s="10"/>
      <c r="E139" s="10"/>
      <c r="F139" s="10" t="s">
        <v>1184</v>
      </c>
      <c r="G139" s="10"/>
      <c r="H139" s="10" t="s">
        <v>1185</v>
      </c>
      <c r="I139" s="10" t="s">
        <v>1186</v>
      </c>
      <c r="J139" s="10">
        <v>1</v>
      </c>
      <c r="K139" s="10" t="b">
        <f>FALSE()</f>
        <v>0</v>
      </c>
      <c r="L139" s="10"/>
      <c r="M139" s="10" t="s">
        <v>1187</v>
      </c>
      <c r="N139" s="10"/>
      <c r="O139" s="11" t="s">
        <v>1188</v>
      </c>
      <c r="P139" s="11"/>
      <c r="Q139" s="10"/>
    </row>
    <row r="140" ht="15" customHeight="1" spans="1:17" x14ac:dyDescent="0.25">
      <c r="A140" s="10" t="s">
        <v>1407</v>
      </c>
      <c r="B140" s="11" t="s">
        <v>1408</v>
      </c>
      <c r="C140" s="10" t="s">
        <v>241</v>
      </c>
      <c r="D140" s="10"/>
      <c r="E140" s="10"/>
      <c r="F140" s="10" t="s">
        <v>1184</v>
      </c>
      <c r="G140" s="10"/>
      <c r="H140" s="10" t="s">
        <v>1185</v>
      </c>
      <c r="I140" s="10" t="s">
        <v>112</v>
      </c>
      <c r="J140" s="10">
        <v>3</v>
      </c>
      <c r="K140" s="10" t="b">
        <f>FALSE()</f>
        <v>0</v>
      </c>
      <c r="L140" s="10"/>
      <c r="M140" s="10" t="s">
        <v>1349</v>
      </c>
      <c r="N140" s="10"/>
      <c r="O140" s="11" t="s">
        <v>1409</v>
      </c>
      <c r="P140" s="11"/>
      <c r="Q140" s="10"/>
    </row>
    <row r="141" ht="15" customHeight="1" spans="1:17" x14ac:dyDescent="0.25">
      <c r="A141" s="10" t="s">
        <v>1410</v>
      </c>
      <c r="B141" s="11" t="s">
        <v>1411</v>
      </c>
      <c r="C141" s="10" t="s">
        <v>241</v>
      </c>
      <c r="D141" s="10"/>
      <c r="E141" s="10"/>
      <c r="F141" s="10" t="s">
        <v>1184</v>
      </c>
      <c r="G141" s="10"/>
      <c r="H141" s="10" t="s">
        <v>1185</v>
      </c>
      <c r="I141" s="10" t="s">
        <v>1191</v>
      </c>
      <c r="J141" s="10">
        <v>1</v>
      </c>
      <c r="K141" s="10" t="b">
        <f>FALSE()</f>
        <v>0</v>
      </c>
      <c r="L141" s="10"/>
      <c r="M141" s="10" t="s">
        <v>1187</v>
      </c>
      <c r="N141" s="10"/>
      <c r="O141" s="11" t="s">
        <v>1188</v>
      </c>
      <c r="P141" s="11"/>
      <c r="Q141" s="10"/>
    </row>
    <row r="142" ht="15" customHeight="1" spans="1:17" x14ac:dyDescent="0.25">
      <c r="A142" s="10" t="s">
        <v>1412</v>
      </c>
      <c r="B142" s="11" t="s">
        <v>1413</v>
      </c>
      <c r="C142" s="10" t="s">
        <v>241</v>
      </c>
      <c r="D142" s="10"/>
      <c r="E142" s="10"/>
      <c r="F142" s="10" t="s">
        <v>1184</v>
      </c>
      <c r="G142" s="10"/>
      <c r="H142" s="10" t="s">
        <v>1185</v>
      </c>
      <c r="I142" s="10" t="s">
        <v>1186</v>
      </c>
      <c r="J142" s="10">
        <v>1</v>
      </c>
      <c r="K142" s="10" t="b">
        <f>FALSE()</f>
        <v>0</v>
      </c>
      <c r="L142" s="10"/>
      <c r="M142" s="10" t="s">
        <v>1187</v>
      </c>
      <c r="N142" s="10"/>
      <c r="O142" s="11" t="s">
        <v>1188</v>
      </c>
      <c r="P142" s="11"/>
      <c r="Q142" s="10"/>
    </row>
    <row r="143" ht="15" customHeight="1" spans="1:17" x14ac:dyDescent="0.25">
      <c r="A143" s="10" t="s">
        <v>1414</v>
      </c>
      <c r="B143" s="11" t="s">
        <v>1415</v>
      </c>
      <c r="C143" s="10" t="s">
        <v>241</v>
      </c>
      <c r="D143" s="10"/>
      <c r="E143" s="10"/>
      <c r="F143" s="10" t="s">
        <v>1184</v>
      </c>
      <c r="G143" s="10"/>
      <c r="H143" s="10" t="s">
        <v>1185</v>
      </c>
      <c r="I143" s="10" t="s">
        <v>1186</v>
      </c>
      <c r="J143" s="10">
        <v>1</v>
      </c>
      <c r="K143" s="10" t="b">
        <f>FALSE()</f>
        <v>0</v>
      </c>
      <c r="L143" s="10"/>
      <c r="M143" s="10" t="s">
        <v>1187</v>
      </c>
      <c r="N143" s="10"/>
      <c r="O143" s="11" t="s">
        <v>1188</v>
      </c>
      <c r="P143" s="11"/>
      <c r="Q143" s="10"/>
    </row>
    <row r="144" ht="15" customHeight="1" spans="1:17" x14ac:dyDescent="0.25">
      <c r="A144" s="10" t="s">
        <v>1416</v>
      </c>
      <c r="B144" s="11" t="s">
        <v>1417</v>
      </c>
      <c r="C144" s="10" t="s">
        <v>241</v>
      </c>
      <c r="D144" s="10"/>
      <c r="E144" s="10"/>
      <c r="F144" s="10" t="s">
        <v>1184</v>
      </c>
      <c r="G144" s="10"/>
      <c r="H144" s="10" t="s">
        <v>1185</v>
      </c>
      <c r="I144" s="10" t="s">
        <v>1186</v>
      </c>
      <c r="J144" s="10">
        <v>1</v>
      </c>
      <c r="K144" s="10" t="b">
        <f>FALSE()</f>
        <v>0</v>
      </c>
      <c r="L144" s="10"/>
      <c r="M144" s="10" t="s">
        <v>1187</v>
      </c>
      <c r="N144" s="10"/>
      <c r="O144" s="11" t="s">
        <v>1188</v>
      </c>
      <c r="P144" s="11"/>
      <c r="Q144" s="10"/>
    </row>
    <row r="145" ht="15" customHeight="1" spans="1:17" x14ac:dyDescent="0.25">
      <c r="A145" s="10" t="s">
        <v>1418</v>
      </c>
      <c r="B145" s="11" t="s">
        <v>1419</v>
      </c>
      <c r="C145" s="10" t="s">
        <v>241</v>
      </c>
      <c r="D145" s="10"/>
      <c r="E145" s="10"/>
      <c r="F145" s="10" t="s">
        <v>1184</v>
      </c>
      <c r="G145" s="10"/>
      <c r="H145" s="10" t="s">
        <v>1185</v>
      </c>
      <c r="I145" s="10" t="s">
        <v>1186</v>
      </c>
      <c r="J145" s="10">
        <v>1</v>
      </c>
      <c r="K145" s="10" t="b">
        <f>FALSE()</f>
        <v>0</v>
      </c>
      <c r="L145" s="10"/>
      <c r="M145" s="10" t="s">
        <v>1187</v>
      </c>
      <c r="N145" s="10"/>
      <c r="O145" s="11" t="s">
        <v>1188</v>
      </c>
      <c r="P145" s="11"/>
      <c r="Q145" s="10"/>
    </row>
    <row r="146" ht="15" customHeight="1" spans="1:17" x14ac:dyDescent="0.25">
      <c r="A146" s="10" t="s">
        <v>1420</v>
      </c>
      <c r="B146" s="11" t="s">
        <v>1421</v>
      </c>
      <c r="C146" s="10" t="s">
        <v>241</v>
      </c>
      <c r="D146" s="10"/>
      <c r="E146" s="10"/>
      <c r="F146" s="10" t="s">
        <v>1184</v>
      </c>
      <c r="G146" s="10"/>
      <c r="H146" s="10" t="s">
        <v>1185</v>
      </c>
      <c r="I146" s="10" t="s">
        <v>1186</v>
      </c>
      <c r="J146" s="10">
        <v>1</v>
      </c>
      <c r="K146" s="10" t="b">
        <f>FALSE()</f>
        <v>0</v>
      </c>
      <c r="L146" s="10"/>
      <c r="M146" s="10" t="s">
        <v>1187</v>
      </c>
      <c r="N146" s="10"/>
      <c r="O146" s="11" t="s">
        <v>1188</v>
      </c>
      <c r="P146" s="11"/>
      <c r="Q146" s="10"/>
    </row>
    <row r="147" ht="15" customHeight="1" spans="1:17" x14ac:dyDescent="0.25">
      <c r="A147" s="10" t="s">
        <v>1422</v>
      </c>
      <c r="B147" s="11" t="s">
        <v>490</v>
      </c>
      <c r="C147" s="10" t="s">
        <v>241</v>
      </c>
      <c r="D147" s="10"/>
      <c r="E147" s="10"/>
      <c r="F147" s="10" t="s">
        <v>1184</v>
      </c>
      <c r="G147" s="10"/>
      <c r="H147" s="10" t="s">
        <v>1185</v>
      </c>
      <c r="I147" s="10" t="s">
        <v>112</v>
      </c>
      <c r="J147" s="10">
        <v>3</v>
      </c>
      <c r="K147" s="10" t="b">
        <f>FALSE()</f>
        <v>0</v>
      </c>
      <c r="L147" s="10"/>
      <c r="M147" s="10" t="s">
        <v>1349</v>
      </c>
      <c r="N147" s="10"/>
      <c r="O147" s="11" t="s">
        <v>1364</v>
      </c>
      <c r="P147" s="11"/>
      <c r="Q147" s="10"/>
    </row>
    <row r="148" ht="15" customHeight="1" spans="1:17" x14ac:dyDescent="0.25">
      <c r="A148" s="10" t="s">
        <v>1423</v>
      </c>
      <c r="B148" s="11" t="s">
        <v>1424</v>
      </c>
      <c r="C148" s="10" t="s">
        <v>241</v>
      </c>
      <c r="D148" s="10"/>
      <c r="E148" s="10"/>
      <c r="F148" s="10" t="s">
        <v>1184</v>
      </c>
      <c r="G148" s="10"/>
      <c r="H148" s="10" t="s">
        <v>1185</v>
      </c>
      <c r="I148" s="10" t="s">
        <v>1186</v>
      </c>
      <c r="J148" s="10">
        <v>1</v>
      </c>
      <c r="K148" s="10" t="b">
        <f>FALSE()</f>
        <v>0</v>
      </c>
      <c r="L148" s="10"/>
      <c r="M148" s="10" t="s">
        <v>1187</v>
      </c>
      <c r="N148" s="10"/>
      <c r="O148" s="11" t="s">
        <v>1188</v>
      </c>
      <c r="P148" s="11"/>
      <c r="Q148" s="10"/>
    </row>
    <row r="149" ht="15" customHeight="1" spans="1:17" x14ac:dyDescent="0.25">
      <c r="A149" s="10" t="s">
        <v>1425</v>
      </c>
      <c r="B149" s="11" t="s">
        <v>1426</v>
      </c>
      <c r="C149" s="10" t="s">
        <v>241</v>
      </c>
      <c r="D149" s="10"/>
      <c r="E149" s="10"/>
      <c r="F149" s="10" t="s">
        <v>1184</v>
      </c>
      <c r="G149" s="10"/>
      <c r="H149" s="10" t="s">
        <v>1185</v>
      </c>
      <c r="I149" s="10" t="s">
        <v>1186</v>
      </c>
      <c r="J149" s="10">
        <v>1</v>
      </c>
      <c r="K149" s="10" t="b">
        <f>FALSE()</f>
        <v>0</v>
      </c>
      <c r="L149" s="10"/>
      <c r="M149" s="10" t="s">
        <v>1187</v>
      </c>
      <c r="N149" s="10"/>
      <c r="O149" s="11" t="s">
        <v>1188</v>
      </c>
      <c r="P149" s="11"/>
      <c r="Q149" s="10"/>
    </row>
    <row r="150" ht="15" customHeight="1" spans="1:17" x14ac:dyDescent="0.25">
      <c r="A150" s="10" t="s">
        <v>1427</v>
      </c>
      <c r="B150" s="11" t="s">
        <v>1428</v>
      </c>
      <c r="C150" s="10" t="s">
        <v>241</v>
      </c>
      <c r="D150" s="10"/>
      <c r="E150" s="10"/>
      <c r="F150" s="10" t="s">
        <v>1184</v>
      </c>
      <c r="G150" s="10"/>
      <c r="H150" s="10" t="s">
        <v>1185</v>
      </c>
      <c r="I150" s="10" t="s">
        <v>1186</v>
      </c>
      <c r="J150" s="10">
        <v>1</v>
      </c>
      <c r="K150" s="10" t="b">
        <f>FALSE()</f>
        <v>0</v>
      </c>
      <c r="L150" s="10"/>
      <c r="M150" s="10" t="s">
        <v>1187</v>
      </c>
      <c r="N150" s="10"/>
      <c r="O150" s="11" t="s">
        <v>1188</v>
      </c>
      <c r="P150" s="11"/>
      <c r="Q150" s="10"/>
    </row>
    <row r="151" ht="15" customHeight="1" spans="1:17" x14ac:dyDescent="0.25">
      <c r="A151" s="10" t="s">
        <v>1429</v>
      </c>
      <c r="B151" s="11" t="s">
        <v>1430</v>
      </c>
      <c r="C151" s="10" t="s">
        <v>241</v>
      </c>
      <c r="D151" s="10"/>
      <c r="E151" s="10"/>
      <c r="F151" s="10" t="s">
        <v>1184</v>
      </c>
      <c r="G151" s="10"/>
      <c r="H151" s="10" t="s">
        <v>1185</v>
      </c>
      <c r="I151" s="10" t="s">
        <v>1194</v>
      </c>
      <c r="J151" s="10">
        <v>1</v>
      </c>
      <c r="K151" s="10" t="b">
        <f>FALSE()</f>
        <v>0</v>
      </c>
      <c r="L151" s="10"/>
      <c r="M151" s="10" t="s">
        <v>1187</v>
      </c>
      <c r="N151" s="10"/>
      <c r="O151" s="11" t="s">
        <v>1188</v>
      </c>
      <c r="P151" s="11"/>
      <c r="Q151" s="10"/>
    </row>
    <row r="152" ht="15" customHeight="1" spans="1:17" x14ac:dyDescent="0.25">
      <c r="A152" s="10" t="s">
        <v>1431</v>
      </c>
      <c r="B152" s="11" t="s">
        <v>1174</v>
      </c>
      <c r="C152" s="10" t="s">
        <v>241</v>
      </c>
      <c r="D152" s="10"/>
      <c r="E152" s="10"/>
      <c r="F152" s="10" t="s">
        <v>1184</v>
      </c>
      <c r="G152" s="10"/>
      <c r="H152" s="10" t="s">
        <v>1185</v>
      </c>
      <c r="I152" s="10" t="s">
        <v>121</v>
      </c>
      <c r="J152" s="10">
        <v>2</v>
      </c>
      <c r="K152" s="10" t="b">
        <f>FALSE()</f>
        <v>0</v>
      </c>
      <c r="L152" s="10"/>
      <c r="M152" s="10" t="s">
        <v>1296</v>
      </c>
      <c r="N152" s="10"/>
      <c r="O152" s="11" t="s">
        <v>1364</v>
      </c>
      <c r="P152" s="11"/>
      <c r="Q152" s="10"/>
    </row>
    <row r="153" ht="15" customHeight="1" spans="1:17" x14ac:dyDescent="0.25">
      <c r="A153" s="10" t="s">
        <v>1432</v>
      </c>
      <c r="B153" s="11" t="s">
        <v>1433</v>
      </c>
      <c r="C153" s="10" t="s">
        <v>150</v>
      </c>
      <c r="D153" s="10"/>
      <c r="E153" s="10"/>
      <c r="F153" s="10" t="s">
        <v>1184</v>
      </c>
      <c r="G153" s="10"/>
      <c r="H153" s="10" t="s">
        <v>1185</v>
      </c>
      <c r="I153" s="10" t="s">
        <v>1186</v>
      </c>
      <c r="J153" s="10">
        <v>1</v>
      </c>
      <c r="K153" s="10" t="b">
        <f>FALSE()</f>
        <v>0</v>
      </c>
      <c r="L153" s="10"/>
      <c r="M153" s="10" t="s">
        <v>1187</v>
      </c>
      <c r="N153" s="10"/>
      <c r="O153" s="11" t="s">
        <v>1188</v>
      </c>
      <c r="P153" s="11"/>
      <c r="Q153" s="10"/>
    </row>
    <row r="154" ht="15" customHeight="1" spans="1:17" x14ac:dyDescent="0.25">
      <c r="A154" s="10" t="s">
        <v>1434</v>
      </c>
      <c r="B154" s="11" t="s">
        <v>504</v>
      </c>
      <c r="C154" s="10" t="s">
        <v>150</v>
      </c>
      <c r="D154" s="10"/>
      <c r="E154" s="10"/>
      <c r="F154" s="10" t="s">
        <v>1184</v>
      </c>
      <c r="G154" s="10"/>
      <c r="H154" s="10" t="s">
        <v>1185</v>
      </c>
      <c r="I154" s="10" t="s">
        <v>112</v>
      </c>
      <c r="J154" s="10">
        <v>3</v>
      </c>
      <c r="K154" s="10" t="b">
        <f>FALSE()</f>
        <v>0</v>
      </c>
      <c r="L154" s="10"/>
      <c r="M154" s="10" t="s">
        <v>1349</v>
      </c>
      <c r="N154" s="10"/>
      <c r="O154" s="11" t="s">
        <v>1364</v>
      </c>
      <c r="P154" s="11"/>
      <c r="Q154" s="10"/>
    </row>
    <row r="155" ht="15" customHeight="1" spans="1:17" x14ac:dyDescent="0.25">
      <c r="A155" s="10" t="s">
        <v>1435</v>
      </c>
      <c r="B155" s="11" t="s">
        <v>1436</v>
      </c>
      <c r="C155" s="10" t="s">
        <v>241</v>
      </c>
      <c r="D155" s="10"/>
      <c r="E155" s="10"/>
      <c r="F155" s="10" t="s">
        <v>1184</v>
      </c>
      <c r="G155" s="10"/>
      <c r="H155" s="10" t="s">
        <v>1185</v>
      </c>
      <c r="I155" s="10" t="s">
        <v>1186</v>
      </c>
      <c r="J155" s="10">
        <v>1</v>
      </c>
      <c r="K155" s="10" t="b">
        <f>FALSE()</f>
        <v>0</v>
      </c>
      <c r="L155" s="10"/>
      <c r="M155" s="10" t="s">
        <v>1187</v>
      </c>
      <c r="N155" s="10"/>
      <c r="O155" s="11" t="s">
        <v>1188</v>
      </c>
      <c r="P155" s="11"/>
      <c r="Q155" s="10"/>
    </row>
    <row r="156" ht="15" customHeight="1" spans="1:17" x14ac:dyDescent="0.25">
      <c r="A156" s="10" t="s">
        <v>1437</v>
      </c>
      <c r="B156" s="11" t="s">
        <v>1438</v>
      </c>
      <c r="C156" s="10" t="s">
        <v>241</v>
      </c>
      <c r="D156" s="10"/>
      <c r="E156" s="10"/>
      <c r="F156" s="10" t="s">
        <v>1184</v>
      </c>
      <c r="G156" s="10"/>
      <c r="H156" s="10" t="s">
        <v>1185</v>
      </c>
      <c r="I156" s="10" t="s">
        <v>1191</v>
      </c>
      <c r="J156" s="10">
        <v>1</v>
      </c>
      <c r="K156" s="10" t="b">
        <f>FALSE()</f>
        <v>0</v>
      </c>
      <c r="L156" s="10"/>
      <c r="M156" s="10" t="s">
        <v>1187</v>
      </c>
      <c r="N156" s="10"/>
      <c r="O156" s="11" t="s">
        <v>1188</v>
      </c>
      <c r="P156" s="11"/>
      <c r="Q156" s="10"/>
    </row>
    <row r="157" ht="15" customHeight="1" spans="1:17" x14ac:dyDescent="0.25">
      <c r="A157" s="10" t="s">
        <v>886</v>
      </c>
      <c r="B157" s="11" t="s">
        <v>887</v>
      </c>
      <c r="C157" s="10" t="s">
        <v>241</v>
      </c>
      <c r="D157" s="10"/>
      <c r="E157" s="10"/>
      <c r="F157" s="10" t="s">
        <v>1184</v>
      </c>
      <c r="G157" s="10" t="s">
        <v>278</v>
      </c>
      <c r="H157" s="10" t="s">
        <v>1185</v>
      </c>
      <c r="I157" s="10" t="s">
        <v>1186</v>
      </c>
      <c r="J157" s="10">
        <v>1</v>
      </c>
      <c r="K157" s="10" t="b">
        <f>FALSE()</f>
        <v>0</v>
      </c>
      <c r="L157" s="10"/>
      <c r="M157" s="10" t="s">
        <v>1187</v>
      </c>
      <c r="N157" s="10"/>
      <c r="O157" s="11" t="s">
        <v>1188</v>
      </c>
      <c r="P157" s="11"/>
      <c r="Q157" s="10"/>
    </row>
    <row r="158" ht="15" customHeight="1" spans="1:17" x14ac:dyDescent="0.25">
      <c r="A158" s="10" t="s">
        <v>1439</v>
      </c>
      <c r="B158" s="11" t="s">
        <v>517</v>
      </c>
      <c r="C158" s="10" t="s">
        <v>241</v>
      </c>
      <c r="D158" s="10"/>
      <c r="E158" s="10"/>
      <c r="F158" s="10" t="s">
        <v>1184</v>
      </c>
      <c r="G158" s="10"/>
      <c r="H158" s="10" t="s">
        <v>1185</v>
      </c>
      <c r="I158" s="10" t="s">
        <v>112</v>
      </c>
      <c r="J158" s="10">
        <v>3</v>
      </c>
      <c r="K158" s="10" t="b">
        <f>FALSE()</f>
        <v>0</v>
      </c>
      <c r="L158" s="10"/>
      <c r="M158" s="10" t="s">
        <v>1349</v>
      </c>
      <c r="N158" s="10"/>
      <c r="O158" s="11" t="s">
        <v>1364</v>
      </c>
      <c r="P158" s="11"/>
      <c r="Q158" s="10"/>
    </row>
    <row r="159" ht="15" customHeight="1" spans="1:17" x14ac:dyDescent="0.25">
      <c r="A159" s="10" t="s">
        <v>1440</v>
      </c>
      <c r="B159" s="11" t="s">
        <v>1441</v>
      </c>
      <c r="C159" s="10" t="s">
        <v>241</v>
      </c>
      <c r="D159" s="10"/>
      <c r="E159" s="10"/>
      <c r="F159" s="10" t="s">
        <v>1184</v>
      </c>
      <c r="G159" s="10"/>
      <c r="H159" s="10" t="s">
        <v>1185</v>
      </c>
      <c r="I159" s="10" t="s">
        <v>1186</v>
      </c>
      <c r="J159" s="10">
        <v>1</v>
      </c>
      <c r="K159" s="10" t="b">
        <f>FALSE()</f>
        <v>0</v>
      </c>
      <c r="L159" s="10"/>
      <c r="M159" s="10" t="s">
        <v>1187</v>
      </c>
      <c r="N159" s="10"/>
      <c r="O159" s="11" t="s">
        <v>1188</v>
      </c>
      <c r="P159" s="11"/>
      <c r="Q159" s="10"/>
    </row>
    <row r="160" ht="15" customHeight="1" spans="1:17" x14ac:dyDescent="0.25">
      <c r="A160" s="10" t="s">
        <v>1442</v>
      </c>
      <c r="B160" s="11" t="s">
        <v>1443</v>
      </c>
      <c r="C160" s="10" t="s">
        <v>241</v>
      </c>
      <c r="D160" s="10"/>
      <c r="E160" s="10"/>
      <c r="F160" s="10" t="s">
        <v>1184</v>
      </c>
      <c r="G160" s="10"/>
      <c r="H160" s="10" t="s">
        <v>1185</v>
      </c>
      <c r="I160" s="10" t="s">
        <v>1186</v>
      </c>
      <c r="J160" s="10">
        <v>1</v>
      </c>
      <c r="K160" s="10" t="b">
        <f>FALSE()</f>
        <v>0</v>
      </c>
      <c r="L160" s="10"/>
      <c r="M160" s="10" t="s">
        <v>1187</v>
      </c>
      <c r="N160" s="10"/>
      <c r="O160" s="11" t="s">
        <v>1188</v>
      </c>
      <c r="P160" s="11"/>
      <c r="Q160" s="10"/>
    </row>
    <row r="161" ht="15" customHeight="1" spans="1:17" x14ac:dyDescent="0.25">
      <c r="A161" s="10" t="s">
        <v>1444</v>
      </c>
      <c r="B161" s="11" t="s">
        <v>1445</v>
      </c>
      <c r="C161" s="10" t="s">
        <v>241</v>
      </c>
      <c r="D161" s="10"/>
      <c r="E161" s="10"/>
      <c r="F161" s="10" t="s">
        <v>1184</v>
      </c>
      <c r="G161" s="10"/>
      <c r="H161" s="10" t="s">
        <v>1185</v>
      </c>
      <c r="I161" s="10" t="s">
        <v>132</v>
      </c>
      <c r="J161" s="10">
        <v>2</v>
      </c>
      <c r="K161" s="10" t="b">
        <f>FALSE()</f>
        <v>0</v>
      </c>
      <c r="L161" s="10"/>
      <c r="M161" s="10" t="s">
        <v>1296</v>
      </c>
      <c r="N161" s="10"/>
      <c r="O161" s="11" t="s">
        <v>1346</v>
      </c>
      <c r="P161" s="11"/>
      <c r="Q161" s="10"/>
    </row>
    <row r="162" ht="15" customHeight="1" spans="1:17" x14ac:dyDescent="0.25">
      <c r="A162" s="10" t="s">
        <v>1446</v>
      </c>
      <c r="B162" s="11" t="s">
        <v>1447</v>
      </c>
      <c r="C162" s="10" t="s">
        <v>241</v>
      </c>
      <c r="D162" s="10"/>
      <c r="E162" s="10"/>
      <c r="F162" s="10" t="s">
        <v>1184</v>
      </c>
      <c r="G162" s="10"/>
      <c r="H162" s="10" t="s">
        <v>1185</v>
      </c>
      <c r="I162" s="10" t="s">
        <v>1186</v>
      </c>
      <c r="J162" s="10">
        <v>1</v>
      </c>
      <c r="K162" s="10" t="b">
        <f>FALSE()</f>
        <v>0</v>
      </c>
      <c r="L162" s="10"/>
      <c r="M162" s="10" t="s">
        <v>1187</v>
      </c>
      <c r="N162" s="10"/>
      <c r="O162" s="11" t="s">
        <v>1188</v>
      </c>
      <c r="P162" s="11"/>
      <c r="Q162" s="10"/>
    </row>
    <row r="163" ht="15" customHeight="1" spans="1:17" x14ac:dyDescent="0.25">
      <c r="A163" s="10" t="s">
        <v>1448</v>
      </c>
      <c r="B163" s="11" t="s">
        <v>1449</v>
      </c>
      <c r="C163" s="10" t="s">
        <v>241</v>
      </c>
      <c r="D163" s="10"/>
      <c r="E163" s="10"/>
      <c r="F163" s="10" t="s">
        <v>1184</v>
      </c>
      <c r="G163" s="10"/>
      <c r="H163" s="10" t="s">
        <v>1185</v>
      </c>
      <c r="I163" s="10" t="s">
        <v>1186</v>
      </c>
      <c r="J163" s="10">
        <v>1</v>
      </c>
      <c r="K163" s="10" t="b">
        <f>FALSE()</f>
        <v>0</v>
      </c>
      <c r="L163" s="10"/>
      <c r="M163" s="10" t="s">
        <v>1187</v>
      </c>
      <c r="N163" s="10"/>
      <c r="O163" s="11" t="s">
        <v>1188</v>
      </c>
      <c r="P163" s="11"/>
      <c r="Q163" s="10"/>
    </row>
    <row r="164" ht="15" customHeight="1" spans="1:17" x14ac:dyDescent="0.25">
      <c r="A164" s="10" t="s">
        <v>1450</v>
      </c>
      <c r="B164" s="11" t="s">
        <v>1451</v>
      </c>
      <c r="C164" s="10" t="s">
        <v>241</v>
      </c>
      <c r="D164" s="10"/>
      <c r="E164" s="10"/>
      <c r="F164" s="10" t="s">
        <v>1184</v>
      </c>
      <c r="G164" s="10"/>
      <c r="H164" s="10" t="s">
        <v>1185</v>
      </c>
      <c r="I164" s="10" t="s">
        <v>1186</v>
      </c>
      <c r="J164" s="10">
        <v>1</v>
      </c>
      <c r="K164" s="10" t="b">
        <f>FALSE()</f>
        <v>0</v>
      </c>
      <c r="L164" s="10"/>
      <c r="M164" s="10" t="s">
        <v>1187</v>
      </c>
      <c r="N164" s="10"/>
      <c r="O164" s="11" t="s">
        <v>1188</v>
      </c>
      <c r="P164" s="11"/>
      <c r="Q164" s="10"/>
    </row>
    <row r="165" ht="15" customHeight="1" spans="1:17" x14ac:dyDescent="0.25">
      <c r="A165" s="10" t="s">
        <v>1452</v>
      </c>
      <c r="B165" s="11" t="s">
        <v>1453</v>
      </c>
      <c r="C165" s="10" t="s">
        <v>241</v>
      </c>
      <c r="D165" s="10"/>
      <c r="E165" s="10"/>
      <c r="F165" s="10" t="s">
        <v>1184</v>
      </c>
      <c r="G165" s="10"/>
      <c r="H165" s="10" t="s">
        <v>1185</v>
      </c>
      <c r="I165" s="10" t="s">
        <v>1186</v>
      </c>
      <c r="J165" s="10">
        <v>1</v>
      </c>
      <c r="K165" s="10" t="b">
        <f>FALSE()</f>
        <v>0</v>
      </c>
      <c r="L165" s="10"/>
      <c r="M165" s="10" t="s">
        <v>1187</v>
      </c>
      <c r="N165" s="10"/>
      <c r="O165" s="11" t="s">
        <v>1188</v>
      </c>
      <c r="P165" s="11"/>
      <c r="Q165" s="10"/>
    </row>
    <row r="166" ht="15" customHeight="1" spans="1:17" x14ac:dyDescent="0.25">
      <c r="A166" s="10" t="s">
        <v>1454</v>
      </c>
      <c r="B166" s="11" t="s">
        <v>1455</v>
      </c>
      <c r="C166" s="10" t="s">
        <v>241</v>
      </c>
      <c r="D166" s="10"/>
      <c r="E166" s="10"/>
      <c r="F166" s="10" t="s">
        <v>1184</v>
      </c>
      <c r="G166" s="10"/>
      <c r="H166" s="10" t="s">
        <v>1185</v>
      </c>
      <c r="I166" s="10" t="s">
        <v>1186</v>
      </c>
      <c r="J166" s="10">
        <v>1</v>
      </c>
      <c r="K166" s="10" t="b">
        <f>FALSE()</f>
        <v>0</v>
      </c>
      <c r="L166" s="10"/>
      <c r="M166" s="10" t="s">
        <v>1187</v>
      </c>
      <c r="N166" s="10"/>
      <c r="O166" s="11" t="s">
        <v>1188</v>
      </c>
      <c r="P166" s="11"/>
      <c r="Q166" s="10"/>
    </row>
    <row r="167" ht="15" customHeight="1" spans="1:17" x14ac:dyDescent="0.25">
      <c r="A167" s="10" t="s">
        <v>1456</v>
      </c>
      <c r="B167" s="11" t="s">
        <v>1457</v>
      </c>
      <c r="C167" s="10" t="s">
        <v>241</v>
      </c>
      <c r="D167" s="10"/>
      <c r="E167" s="10"/>
      <c r="F167" s="10" t="s">
        <v>1184</v>
      </c>
      <c r="G167" s="10"/>
      <c r="H167" s="10" t="s">
        <v>1185</v>
      </c>
      <c r="I167" s="10" t="s">
        <v>1186</v>
      </c>
      <c r="J167" s="10">
        <v>1</v>
      </c>
      <c r="K167" s="10" t="b">
        <f>FALSE()</f>
        <v>0</v>
      </c>
      <c r="L167" s="10"/>
      <c r="M167" s="10" t="s">
        <v>1187</v>
      </c>
      <c r="N167" s="10"/>
      <c r="O167" s="11" t="s">
        <v>1188</v>
      </c>
      <c r="P167" s="11"/>
      <c r="Q167" s="10"/>
    </row>
    <row r="168" ht="15" customHeight="1" spans="1:17" x14ac:dyDescent="0.25">
      <c r="A168" s="10" t="s">
        <v>1458</v>
      </c>
      <c r="B168" s="11" t="s">
        <v>1459</v>
      </c>
      <c r="C168" s="10" t="s">
        <v>241</v>
      </c>
      <c r="D168" s="10"/>
      <c r="E168" s="10"/>
      <c r="F168" s="10" t="s">
        <v>1184</v>
      </c>
      <c r="G168" s="10"/>
      <c r="H168" s="10" t="s">
        <v>1185</v>
      </c>
      <c r="I168" s="10" t="s">
        <v>1191</v>
      </c>
      <c r="J168" s="10">
        <v>1</v>
      </c>
      <c r="K168" s="10" t="b">
        <f>FALSE()</f>
        <v>0</v>
      </c>
      <c r="L168" s="10"/>
      <c r="M168" s="10" t="s">
        <v>1187</v>
      </c>
      <c r="N168" s="10"/>
      <c r="O168" s="11" t="s">
        <v>1188</v>
      </c>
      <c r="P168" s="11"/>
      <c r="Q168" s="10"/>
    </row>
    <row r="169" ht="15" customHeight="1" spans="1:17" x14ac:dyDescent="0.25">
      <c r="A169" s="10" t="s">
        <v>1460</v>
      </c>
      <c r="B169" s="11" t="s">
        <v>1461</v>
      </c>
      <c r="C169" s="10" t="s">
        <v>241</v>
      </c>
      <c r="D169" s="10"/>
      <c r="E169" s="10"/>
      <c r="F169" s="10" t="s">
        <v>1184</v>
      </c>
      <c r="G169" s="10"/>
      <c r="H169" s="10" t="s">
        <v>1185</v>
      </c>
      <c r="I169" s="10" t="s">
        <v>1186</v>
      </c>
      <c r="J169" s="10">
        <v>1</v>
      </c>
      <c r="K169" s="10" t="b">
        <f>FALSE()</f>
        <v>0</v>
      </c>
      <c r="L169" s="10"/>
      <c r="M169" s="10" t="s">
        <v>1187</v>
      </c>
      <c r="N169" s="10"/>
      <c r="O169" s="11" t="s">
        <v>1188</v>
      </c>
      <c r="P169" s="11"/>
      <c r="Q169" s="10"/>
    </row>
    <row r="170" ht="15" customHeight="1" spans="1:17" x14ac:dyDescent="0.25">
      <c r="A170" s="10" t="s">
        <v>1462</v>
      </c>
      <c r="B170" s="11" t="s">
        <v>1463</v>
      </c>
      <c r="C170" s="10" t="s">
        <v>241</v>
      </c>
      <c r="D170" s="10"/>
      <c r="E170" s="10"/>
      <c r="F170" s="10" t="s">
        <v>1184</v>
      </c>
      <c r="G170" s="10"/>
      <c r="H170" s="10" t="s">
        <v>1185</v>
      </c>
      <c r="I170" s="10" t="s">
        <v>1186</v>
      </c>
      <c r="J170" s="10">
        <v>1</v>
      </c>
      <c r="K170" s="10" t="b">
        <f>FALSE()</f>
        <v>0</v>
      </c>
      <c r="L170" s="10"/>
      <c r="M170" s="10" t="s">
        <v>1187</v>
      </c>
      <c r="N170" s="10"/>
      <c r="O170" s="11" t="s">
        <v>1188</v>
      </c>
      <c r="P170" s="11"/>
      <c r="Q170" s="10"/>
    </row>
    <row r="171" ht="15" customHeight="1" spans="1:17" x14ac:dyDescent="0.25">
      <c r="A171" s="10" t="s">
        <v>1464</v>
      </c>
      <c r="B171" s="11" t="s">
        <v>1465</v>
      </c>
      <c r="C171" s="10" t="s">
        <v>241</v>
      </c>
      <c r="D171" s="10"/>
      <c r="E171" s="10"/>
      <c r="F171" s="10" t="s">
        <v>1184</v>
      </c>
      <c r="G171" s="10"/>
      <c r="H171" s="10" t="s">
        <v>1185</v>
      </c>
      <c r="I171" s="10" t="s">
        <v>1186</v>
      </c>
      <c r="J171" s="10">
        <v>1</v>
      </c>
      <c r="K171" s="10" t="b">
        <f>FALSE()</f>
        <v>0</v>
      </c>
      <c r="L171" s="10"/>
      <c r="M171" s="10" t="s">
        <v>1187</v>
      </c>
      <c r="N171" s="10"/>
      <c r="O171" s="11" t="s">
        <v>1188</v>
      </c>
      <c r="P171" s="11"/>
      <c r="Q171" s="10"/>
    </row>
    <row r="172" ht="15" customHeight="1" spans="1:17" x14ac:dyDescent="0.25">
      <c r="A172" s="10" t="s">
        <v>1466</v>
      </c>
      <c r="B172" s="11" t="s">
        <v>1467</v>
      </c>
      <c r="C172" s="10" t="s">
        <v>241</v>
      </c>
      <c r="D172" s="10"/>
      <c r="E172" s="10"/>
      <c r="F172" s="10" t="s">
        <v>1184</v>
      </c>
      <c r="G172" s="10"/>
      <c r="H172" s="10" t="s">
        <v>1185</v>
      </c>
      <c r="I172" s="10" t="s">
        <v>1186</v>
      </c>
      <c r="J172" s="10">
        <v>1</v>
      </c>
      <c r="K172" s="10" t="b">
        <f>FALSE()</f>
        <v>0</v>
      </c>
      <c r="L172" s="10"/>
      <c r="M172" s="10" t="s">
        <v>1187</v>
      </c>
      <c r="N172" s="10"/>
      <c r="O172" s="11" t="s">
        <v>1188</v>
      </c>
      <c r="P172" s="11"/>
      <c r="Q172" s="10"/>
    </row>
    <row r="173" ht="15" customHeight="1" spans="1:17" x14ac:dyDescent="0.25">
      <c r="A173" s="10" t="s">
        <v>1468</v>
      </c>
      <c r="B173" s="11" t="s">
        <v>1469</v>
      </c>
      <c r="C173" s="10" t="s">
        <v>241</v>
      </c>
      <c r="D173" s="10"/>
      <c r="E173" s="10"/>
      <c r="F173" s="10" t="s">
        <v>1184</v>
      </c>
      <c r="G173" s="10"/>
      <c r="H173" s="10" t="s">
        <v>1185</v>
      </c>
      <c r="I173" s="10" t="s">
        <v>1186</v>
      </c>
      <c r="J173" s="10">
        <v>1</v>
      </c>
      <c r="K173" s="10" t="b">
        <f>FALSE()</f>
        <v>0</v>
      </c>
      <c r="L173" s="10"/>
      <c r="M173" s="10" t="s">
        <v>1187</v>
      </c>
      <c r="N173" s="10"/>
      <c r="O173" s="11" t="s">
        <v>1188</v>
      </c>
      <c r="P173" s="11"/>
      <c r="Q173" s="10"/>
    </row>
    <row r="174" ht="15" customHeight="1" spans="1:17" x14ac:dyDescent="0.25">
      <c r="A174" s="10" t="s">
        <v>1470</v>
      </c>
      <c r="B174" s="11" t="s">
        <v>1471</v>
      </c>
      <c r="C174" s="10" t="s">
        <v>241</v>
      </c>
      <c r="D174" s="10"/>
      <c r="E174" s="10"/>
      <c r="F174" s="10" t="s">
        <v>1184</v>
      </c>
      <c r="G174" s="10"/>
      <c r="H174" s="10" t="s">
        <v>1185</v>
      </c>
      <c r="I174" s="10" t="s">
        <v>1186</v>
      </c>
      <c r="J174" s="10">
        <v>1</v>
      </c>
      <c r="K174" s="10" t="b">
        <f>FALSE()</f>
        <v>0</v>
      </c>
      <c r="L174" s="10"/>
      <c r="M174" s="10" t="s">
        <v>1187</v>
      </c>
      <c r="N174" s="10"/>
      <c r="O174" s="11" t="s">
        <v>1188</v>
      </c>
      <c r="P174" s="11"/>
      <c r="Q174" s="10"/>
    </row>
    <row r="175" ht="15" customHeight="1" spans="1:17" x14ac:dyDescent="0.25">
      <c r="A175" s="10" t="s">
        <v>1472</v>
      </c>
      <c r="B175" s="11" t="s">
        <v>1473</v>
      </c>
      <c r="C175" s="10" t="s">
        <v>241</v>
      </c>
      <c r="D175" s="10"/>
      <c r="E175" s="10"/>
      <c r="F175" s="10" t="s">
        <v>1184</v>
      </c>
      <c r="G175" s="10"/>
      <c r="H175" s="10" t="s">
        <v>1185</v>
      </c>
      <c r="I175" s="10" t="s">
        <v>1186</v>
      </c>
      <c r="J175" s="10">
        <v>1</v>
      </c>
      <c r="K175" s="10" t="b">
        <f>FALSE()</f>
        <v>0</v>
      </c>
      <c r="L175" s="10"/>
      <c r="M175" s="10" t="s">
        <v>1187</v>
      </c>
      <c r="N175" s="10"/>
      <c r="O175" s="11" t="s">
        <v>1188</v>
      </c>
      <c r="P175" s="11"/>
      <c r="Q175" s="10"/>
    </row>
    <row r="176" ht="15" customHeight="1" spans="1:17" x14ac:dyDescent="0.25">
      <c r="A176" s="10" t="s">
        <v>1474</v>
      </c>
      <c r="B176" s="11" t="s">
        <v>1475</v>
      </c>
      <c r="C176" s="10" t="s">
        <v>241</v>
      </c>
      <c r="D176" s="10"/>
      <c r="E176" s="10"/>
      <c r="F176" s="10" t="s">
        <v>1184</v>
      </c>
      <c r="G176" s="10"/>
      <c r="H176" s="10" t="s">
        <v>1185</v>
      </c>
      <c r="I176" s="10" t="s">
        <v>1186</v>
      </c>
      <c r="J176" s="10">
        <v>1</v>
      </c>
      <c r="K176" s="10" t="b">
        <f>FALSE()</f>
        <v>0</v>
      </c>
      <c r="L176" s="10"/>
      <c r="M176" s="10" t="s">
        <v>1187</v>
      </c>
      <c r="N176" s="10"/>
      <c r="O176" s="11" t="s">
        <v>1188</v>
      </c>
      <c r="P176" s="11"/>
      <c r="Q176" s="10"/>
    </row>
    <row r="177" ht="15" customHeight="1" spans="1:17" x14ac:dyDescent="0.25">
      <c r="A177" s="10" t="s">
        <v>1476</v>
      </c>
      <c r="B177" s="11" t="s">
        <v>1477</v>
      </c>
      <c r="C177" s="10" t="s">
        <v>241</v>
      </c>
      <c r="D177" s="10"/>
      <c r="E177" s="10"/>
      <c r="F177" s="10" t="s">
        <v>1184</v>
      </c>
      <c r="G177" s="10"/>
      <c r="H177" s="10" t="s">
        <v>1185</v>
      </c>
      <c r="I177" s="10" t="s">
        <v>1186</v>
      </c>
      <c r="J177" s="10">
        <v>1</v>
      </c>
      <c r="K177" s="10" t="b">
        <f>FALSE()</f>
        <v>0</v>
      </c>
      <c r="L177" s="10"/>
      <c r="M177" s="10" t="s">
        <v>1187</v>
      </c>
      <c r="N177" s="10"/>
      <c r="O177" s="11" t="s">
        <v>1188</v>
      </c>
      <c r="P177" s="11"/>
      <c r="Q177" s="10"/>
    </row>
    <row r="178" ht="15" customHeight="1" spans="1:17" x14ac:dyDescent="0.25">
      <c r="A178" s="10" t="s">
        <v>1478</v>
      </c>
      <c r="B178" s="11" t="s">
        <v>1479</v>
      </c>
      <c r="C178" s="10" t="s">
        <v>241</v>
      </c>
      <c r="D178" s="10"/>
      <c r="E178" s="10"/>
      <c r="F178" s="10" t="s">
        <v>1184</v>
      </c>
      <c r="G178" s="10"/>
      <c r="H178" s="10" t="s">
        <v>1185</v>
      </c>
      <c r="I178" s="10" t="s">
        <v>1186</v>
      </c>
      <c r="J178" s="10">
        <v>1</v>
      </c>
      <c r="K178" s="10" t="b">
        <f>FALSE()</f>
        <v>0</v>
      </c>
      <c r="L178" s="10"/>
      <c r="M178" s="10" t="s">
        <v>1187</v>
      </c>
      <c r="N178" s="10"/>
      <c r="O178" s="11" t="s">
        <v>1188</v>
      </c>
      <c r="P178" s="11"/>
      <c r="Q178" s="10"/>
    </row>
    <row r="179" ht="15" customHeight="1" spans="1:17" x14ac:dyDescent="0.25">
      <c r="A179" s="10" t="s">
        <v>1480</v>
      </c>
      <c r="B179" s="11" t="s">
        <v>1481</v>
      </c>
      <c r="C179" s="10" t="s">
        <v>241</v>
      </c>
      <c r="D179" s="10"/>
      <c r="E179" s="10"/>
      <c r="F179" s="10" t="s">
        <v>1184</v>
      </c>
      <c r="G179" s="10"/>
      <c r="H179" s="10" t="s">
        <v>1185</v>
      </c>
      <c r="I179" s="10" t="s">
        <v>1186</v>
      </c>
      <c r="J179" s="10">
        <v>1</v>
      </c>
      <c r="K179" s="10" t="b">
        <f>FALSE()</f>
        <v>0</v>
      </c>
      <c r="L179" s="10"/>
      <c r="M179" s="10" t="s">
        <v>1187</v>
      </c>
      <c r="N179" s="10"/>
      <c r="O179" s="11" t="s">
        <v>1188</v>
      </c>
      <c r="P179" s="11"/>
      <c r="Q179" s="10"/>
    </row>
    <row r="180" ht="15" customHeight="1" spans="1:17" x14ac:dyDescent="0.25">
      <c r="A180" s="10" t="s">
        <v>1482</v>
      </c>
      <c r="B180" s="11" t="s">
        <v>1483</v>
      </c>
      <c r="C180" s="10" t="s">
        <v>241</v>
      </c>
      <c r="D180" s="10"/>
      <c r="E180" s="10"/>
      <c r="F180" s="10" t="s">
        <v>1184</v>
      </c>
      <c r="G180" s="10"/>
      <c r="H180" s="10" t="s">
        <v>1185</v>
      </c>
      <c r="I180" s="10" t="s">
        <v>1186</v>
      </c>
      <c r="J180" s="10">
        <v>1</v>
      </c>
      <c r="K180" s="10" t="b">
        <f>FALSE()</f>
        <v>0</v>
      </c>
      <c r="L180" s="10"/>
      <c r="M180" s="10" t="s">
        <v>1187</v>
      </c>
      <c r="N180" s="10"/>
      <c r="O180" s="11" t="s">
        <v>1188</v>
      </c>
      <c r="P180" s="11"/>
      <c r="Q180" s="10"/>
    </row>
    <row r="181" ht="15" customHeight="1" spans="1:17" x14ac:dyDescent="0.25">
      <c r="A181" s="10" t="s">
        <v>1484</v>
      </c>
      <c r="B181" s="11" t="s">
        <v>1485</v>
      </c>
      <c r="C181" s="10" t="s">
        <v>241</v>
      </c>
      <c r="D181" s="10"/>
      <c r="E181" s="10"/>
      <c r="F181" s="10" t="s">
        <v>1184</v>
      </c>
      <c r="G181" s="10"/>
      <c r="H181" s="10" t="s">
        <v>1185</v>
      </c>
      <c r="I181" s="10" t="s">
        <v>1186</v>
      </c>
      <c r="J181" s="10">
        <v>1</v>
      </c>
      <c r="K181" s="10" t="b">
        <f>FALSE()</f>
        <v>0</v>
      </c>
      <c r="L181" s="10"/>
      <c r="M181" s="10" t="s">
        <v>1187</v>
      </c>
      <c r="N181" s="10"/>
      <c r="O181" s="11" t="s">
        <v>1188</v>
      </c>
      <c r="P181" s="11"/>
      <c r="Q181" s="10"/>
    </row>
    <row r="182" ht="15" customHeight="1" spans="1:17" x14ac:dyDescent="0.25">
      <c r="A182" s="10" t="s">
        <v>1486</v>
      </c>
      <c r="B182" s="11" t="s">
        <v>1487</v>
      </c>
      <c r="C182" s="10" t="s">
        <v>241</v>
      </c>
      <c r="D182" s="10"/>
      <c r="E182" s="10"/>
      <c r="F182" s="10" t="s">
        <v>1184</v>
      </c>
      <c r="G182" s="10"/>
      <c r="H182" s="10" t="s">
        <v>1185</v>
      </c>
      <c r="I182" s="10" t="s">
        <v>1186</v>
      </c>
      <c r="J182" s="10">
        <v>1</v>
      </c>
      <c r="K182" s="10" t="b">
        <f>FALSE()</f>
        <v>0</v>
      </c>
      <c r="L182" s="10"/>
      <c r="M182" s="10" t="s">
        <v>1187</v>
      </c>
      <c r="N182" s="10"/>
      <c r="O182" s="11" t="s">
        <v>1188</v>
      </c>
      <c r="P182" s="11"/>
      <c r="Q182" s="10"/>
    </row>
    <row r="183" ht="15" customHeight="1" spans="1:17" x14ac:dyDescent="0.25">
      <c r="A183" s="10" t="s">
        <v>1488</v>
      </c>
      <c r="B183" s="11" t="s">
        <v>1489</v>
      </c>
      <c r="C183" s="10" t="s">
        <v>241</v>
      </c>
      <c r="D183" s="10"/>
      <c r="E183" s="10"/>
      <c r="F183" s="10" t="s">
        <v>1184</v>
      </c>
      <c r="G183" s="10"/>
      <c r="H183" s="10" t="s">
        <v>1185</v>
      </c>
      <c r="I183" s="10" t="s">
        <v>1186</v>
      </c>
      <c r="J183" s="10">
        <v>1</v>
      </c>
      <c r="K183" s="10" t="b">
        <f>FALSE()</f>
        <v>0</v>
      </c>
      <c r="L183" s="10"/>
      <c r="M183" s="10" t="s">
        <v>1187</v>
      </c>
      <c r="N183" s="10"/>
      <c r="O183" s="11" t="s">
        <v>1188</v>
      </c>
      <c r="P183" s="11"/>
      <c r="Q183" s="10"/>
    </row>
    <row r="184" ht="15" customHeight="1" spans="1:17" x14ac:dyDescent="0.25">
      <c r="A184" s="10" t="s">
        <v>1490</v>
      </c>
      <c r="B184" s="11" t="s">
        <v>1491</v>
      </c>
      <c r="C184" s="10" t="s">
        <v>241</v>
      </c>
      <c r="D184" s="10"/>
      <c r="E184" s="10"/>
      <c r="F184" s="10" t="s">
        <v>1184</v>
      </c>
      <c r="G184" s="10"/>
      <c r="H184" s="10" t="s">
        <v>1185</v>
      </c>
      <c r="I184" s="10" t="s">
        <v>1186</v>
      </c>
      <c r="J184" s="10">
        <v>1</v>
      </c>
      <c r="K184" s="10" t="b">
        <f>FALSE()</f>
        <v>0</v>
      </c>
      <c r="L184" s="10"/>
      <c r="M184" s="10" t="s">
        <v>1187</v>
      </c>
      <c r="N184" s="10"/>
      <c r="O184" s="11" t="s">
        <v>1188</v>
      </c>
      <c r="P184" s="11"/>
      <c r="Q184" s="10"/>
    </row>
    <row r="185" ht="15" customHeight="1" spans="1:17" x14ac:dyDescent="0.25">
      <c r="A185" s="10" t="s">
        <v>1492</v>
      </c>
      <c r="B185" s="11" t="s">
        <v>1493</v>
      </c>
      <c r="C185" s="10" t="s">
        <v>241</v>
      </c>
      <c r="D185" s="10"/>
      <c r="E185" s="10"/>
      <c r="F185" s="10" t="s">
        <v>1184</v>
      </c>
      <c r="G185" s="10"/>
      <c r="H185" s="10" t="s">
        <v>1185</v>
      </c>
      <c r="I185" s="10" t="s">
        <v>1186</v>
      </c>
      <c r="J185" s="10">
        <v>1</v>
      </c>
      <c r="K185" s="10" t="b">
        <f>FALSE()</f>
        <v>0</v>
      </c>
      <c r="L185" s="10"/>
      <c r="M185" s="10" t="s">
        <v>1187</v>
      </c>
      <c r="N185" s="10"/>
      <c r="O185" s="11" t="s">
        <v>1188</v>
      </c>
      <c r="P185" s="11"/>
      <c r="Q185" s="10"/>
    </row>
    <row r="186" ht="15" customHeight="1" spans="1:17" x14ac:dyDescent="0.25">
      <c r="A186" s="10" t="s">
        <v>1494</v>
      </c>
      <c r="B186" s="11" t="s">
        <v>1495</v>
      </c>
      <c r="C186" s="10" t="s">
        <v>241</v>
      </c>
      <c r="D186" s="10"/>
      <c r="E186" s="10"/>
      <c r="F186" s="10" t="s">
        <v>1184</v>
      </c>
      <c r="G186" s="10"/>
      <c r="H186" s="10" t="s">
        <v>1185</v>
      </c>
      <c r="I186" s="10" t="s">
        <v>1186</v>
      </c>
      <c r="J186" s="10">
        <v>1</v>
      </c>
      <c r="K186" s="10" t="b">
        <f>FALSE()</f>
        <v>0</v>
      </c>
      <c r="L186" s="10"/>
      <c r="M186" s="10" t="s">
        <v>1187</v>
      </c>
      <c r="N186" s="10"/>
      <c r="O186" s="11" t="s">
        <v>1188</v>
      </c>
      <c r="P186" s="11"/>
      <c r="Q186" s="10"/>
    </row>
    <row r="187" ht="15" customHeight="1" spans="1:17" x14ac:dyDescent="0.25">
      <c r="A187" s="10" t="s">
        <v>1496</v>
      </c>
      <c r="B187" s="11" t="s">
        <v>1497</v>
      </c>
      <c r="C187" s="10" t="s">
        <v>241</v>
      </c>
      <c r="D187" s="10"/>
      <c r="E187" s="10"/>
      <c r="F187" s="10" t="s">
        <v>1184</v>
      </c>
      <c r="G187" s="10"/>
      <c r="H187" s="10" t="s">
        <v>1185</v>
      </c>
      <c r="I187" s="10" t="s">
        <v>1186</v>
      </c>
      <c r="J187" s="10">
        <v>1</v>
      </c>
      <c r="K187" s="10" t="b">
        <f>FALSE()</f>
        <v>0</v>
      </c>
      <c r="L187" s="10"/>
      <c r="M187" s="10" t="s">
        <v>1187</v>
      </c>
      <c r="N187" s="10"/>
      <c r="O187" s="11" t="s">
        <v>1188</v>
      </c>
      <c r="P187" s="11"/>
      <c r="Q187" s="10"/>
    </row>
    <row r="188" ht="15" customHeight="1" spans="1:17" x14ac:dyDescent="0.25">
      <c r="A188" s="10" t="s">
        <v>1498</v>
      </c>
      <c r="B188" s="11" t="s">
        <v>1499</v>
      </c>
      <c r="C188" s="10" t="s">
        <v>142</v>
      </c>
      <c r="D188" s="10"/>
      <c r="E188" s="10"/>
      <c r="F188" s="10" t="s">
        <v>1184</v>
      </c>
      <c r="G188" s="10"/>
      <c r="H188" s="10" t="s">
        <v>1185</v>
      </c>
      <c r="I188" s="10" t="s">
        <v>1186</v>
      </c>
      <c r="J188" s="10">
        <v>1</v>
      </c>
      <c r="K188" s="10" t="b">
        <f>FALSE()</f>
        <v>0</v>
      </c>
      <c r="L188" s="10"/>
      <c r="M188" s="10" t="s">
        <v>1187</v>
      </c>
      <c r="N188" s="10"/>
      <c r="O188" s="11" t="s">
        <v>1188</v>
      </c>
      <c r="P188" s="11"/>
      <c r="Q188" s="10"/>
    </row>
    <row r="189" ht="15" customHeight="1" spans="1:17" x14ac:dyDescent="0.25">
      <c r="A189" s="10" t="s">
        <v>1500</v>
      </c>
      <c r="B189" s="11" t="s">
        <v>1501</v>
      </c>
      <c r="C189" s="10" t="s">
        <v>241</v>
      </c>
      <c r="D189" s="10"/>
      <c r="E189" s="10"/>
      <c r="F189" s="10" t="s">
        <v>1184</v>
      </c>
      <c r="G189" s="10"/>
      <c r="H189" s="10" t="s">
        <v>1185</v>
      </c>
      <c r="I189" s="10" t="s">
        <v>1186</v>
      </c>
      <c r="J189" s="10">
        <v>1</v>
      </c>
      <c r="K189" s="10" t="b">
        <f>FALSE()</f>
        <v>0</v>
      </c>
      <c r="L189" s="10"/>
      <c r="M189" s="10" t="s">
        <v>1187</v>
      </c>
      <c r="N189" s="10"/>
      <c r="O189" s="11" t="s">
        <v>1188</v>
      </c>
      <c r="P189" s="11"/>
      <c r="Q189" s="10"/>
    </row>
    <row r="190" ht="15" customHeight="1" spans="1:17" x14ac:dyDescent="0.25">
      <c r="A190" s="10" t="s">
        <v>1502</v>
      </c>
      <c r="B190" s="11" t="s">
        <v>1503</v>
      </c>
      <c r="C190" s="10" t="s">
        <v>142</v>
      </c>
      <c r="D190" s="10"/>
      <c r="E190" s="10"/>
      <c r="F190" s="10" t="s">
        <v>1184</v>
      </c>
      <c r="G190" s="10"/>
      <c r="H190" s="10" t="s">
        <v>1185</v>
      </c>
      <c r="I190" s="10" t="s">
        <v>1186</v>
      </c>
      <c r="J190" s="10">
        <v>1</v>
      </c>
      <c r="K190" s="10" t="b">
        <f>FALSE()</f>
        <v>0</v>
      </c>
      <c r="L190" s="10"/>
      <c r="M190" s="10" t="s">
        <v>1187</v>
      </c>
      <c r="N190" s="10"/>
      <c r="O190" s="11" t="s">
        <v>1188</v>
      </c>
      <c r="P190" s="11"/>
      <c r="Q190" s="10"/>
    </row>
    <row r="191" ht="15" customHeight="1" spans="1:17" x14ac:dyDescent="0.25">
      <c r="A191" s="10" t="s">
        <v>1504</v>
      </c>
      <c r="B191" s="11" t="s">
        <v>1505</v>
      </c>
      <c r="C191" s="10" t="s">
        <v>241</v>
      </c>
      <c r="D191" s="10"/>
      <c r="E191" s="10"/>
      <c r="F191" s="10" t="s">
        <v>1184</v>
      </c>
      <c r="G191" s="10"/>
      <c r="H191" s="10" t="s">
        <v>1185</v>
      </c>
      <c r="I191" s="10" t="s">
        <v>1186</v>
      </c>
      <c r="J191" s="10">
        <v>1</v>
      </c>
      <c r="K191" s="10" t="b">
        <f>FALSE()</f>
        <v>0</v>
      </c>
      <c r="L191" s="10"/>
      <c r="M191" s="10" t="s">
        <v>1187</v>
      </c>
      <c r="N191" s="10"/>
      <c r="O191" s="11" t="s">
        <v>1188</v>
      </c>
      <c r="P191" s="11"/>
      <c r="Q191" s="10"/>
    </row>
    <row r="192" ht="15" customHeight="1" spans="1:17" x14ac:dyDescent="0.25">
      <c r="A192" s="10" t="s">
        <v>1506</v>
      </c>
      <c r="B192" s="11" t="s">
        <v>1507</v>
      </c>
      <c r="C192" s="10" t="s">
        <v>142</v>
      </c>
      <c r="D192" s="10"/>
      <c r="E192" s="10"/>
      <c r="F192" s="10" t="s">
        <v>1184</v>
      </c>
      <c r="G192" s="10"/>
      <c r="H192" s="10" t="s">
        <v>1185</v>
      </c>
      <c r="I192" s="10" t="s">
        <v>1186</v>
      </c>
      <c r="J192" s="10">
        <v>1</v>
      </c>
      <c r="K192" s="10" t="b">
        <f>FALSE()</f>
        <v>0</v>
      </c>
      <c r="L192" s="10"/>
      <c r="M192" s="10" t="s">
        <v>1187</v>
      </c>
      <c r="N192" s="10"/>
      <c r="O192" s="11" t="s">
        <v>1188</v>
      </c>
      <c r="P192" s="11"/>
      <c r="Q192" s="10"/>
    </row>
    <row r="193" ht="15" customHeight="1" spans="1:17" x14ac:dyDescent="0.25">
      <c r="A193" s="10" t="s">
        <v>1508</v>
      </c>
      <c r="B193" s="11" t="s">
        <v>1509</v>
      </c>
      <c r="C193" s="10" t="s">
        <v>241</v>
      </c>
      <c r="D193" s="10"/>
      <c r="E193" s="10"/>
      <c r="F193" s="10" t="s">
        <v>1184</v>
      </c>
      <c r="G193" s="10"/>
      <c r="H193" s="10" t="s">
        <v>1185</v>
      </c>
      <c r="I193" s="10" t="s">
        <v>1186</v>
      </c>
      <c r="J193" s="10">
        <v>1</v>
      </c>
      <c r="K193" s="10" t="b">
        <f>FALSE()</f>
        <v>0</v>
      </c>
      <c r="L193" s="10"/>
      <c r="M193" s="10" t="s">
        <v>1187</v>
      </c>
      <c r="N193" s="10"/>
      <c r="O193" s="11" t="s">
        <v>1188</v>
      </c>
      <c r="P193" s="11"/>
      <c r="Q193" s="10"/>
    </row>
    <row r="194" ht="15" customHeight="1" spans="1:17" x14ac:dyDescent="0.25">
      <c r="A194" s="10" t="s">
        <v>1510</v>
      </c>
      <c r="B194" s="11" t="s">
        <v>1511</v>
      </c>
      <c r="C194" s="10" t="s">
        <v>142</v>
      </c>
      <c r="D194" s="10"/>
      <c r="E194" s="10"/>
      <c r="F194" s="10" t="s">
        <v>1184</v>
      </c>
      <c r="G194" s="10"/>
      <c r="H194" s="10" t="s">
        <v>1185</v>
      </c>
      <c r="I194" s="10" t="s">
        <v>1186</v>
      </c>
      <c r="J194" s="10">
        <v>1</v>
      </c>
      <c r="K194" s="10" t="b">
        <f>FALSE()</f>
        <v>0</v>
      </c>
      <c r="L194" s="10"/>
      <c r="M194" s="10" t="s">
        <v>1187</v>
      </c>
      <c r="N194" s="10"/>
      <c r="O194" s="11" t="s">
        <v>1188</v>
      </c>
      <c r="P194" s="11"/>
      <c r="Q194" s="10"/>
    </row>
    <row r="195" ht="15" customHeight="1" spans="1:17" x14ac:dyDescent="0.25">
      <c r="A195" s="10" t="s">
        <v>1512</v>
      </c>
      <c r="B195" s="11" t="s">
        <v>1513</v>
      </c>
      <c r="C195" s="10" t="s">
        <v>241</v>
      </c>
      <c r="D195" s="10"/>
      <c r="E195" s="10"/>
      <c r="F195" s="10" t="s">
        <v>1184</v>
      </c>
      <c r="G195" s="10"/>
      <c r="H195" s="10" t="s">
        <v>1185</v>
      </c>
      <c r="I195" s="10" t="s">
        <v>1186</v>
      </c>
      <c r="J195" s="10">
        <v>1</v>
      </c>
      <c r="K195" s="10" t="b">
        <f>FALSE()</f>
        <v>0</v>
      </c>
      <c r="L195" s="10"/>
      <c r="M195" s="10" t="s">
        <v>1187</v>
      </c>
      <c r="N195" s="10"/>
      <c r="O195" s="11" t="s">
        <v>1188</v>
      </c>
      <c r="P195" s="11"/>
      <c r="Q195" s="10"/>
    </row>
    <row r="196" ht="15" customHeight="1" spans="1:17" x14ac:dyDescent="0.25">
      <c r="A196" s="10" t="s">
        <v>1514</v>
      </c>
      <c r="B196" s="11" t="s">
        <v>1515</v>
      </c>
      <c r="C196" s="10" t="s">
        <v>142</v>
      </c>
      <c r="D196" s="10"/>
      <c r="E196" s="10"/>
      <c r="F196" s="10" t="s">
        <v>1184</v>
      </c>
      <c r="G196" s="10"/>
      <c r="H196" s="10" t="s">
        <v>1185</v>
      </c>
      <c r="I196" s="10" t="s">
        <v>1186</v>
      </c>
      <c r="J196" s="10">
        <v>1</v>
      </c>
      <c r="K196" s="10" t="b">
        <f>FALSE()</f>
        <v>0</v>
      </c>
      <c r="L196" s="10"/>
      <c r="M196" s="10" t="s">
        <v>1187</v>
      </c>
      <c r="N196" s="10"/>
      <c r="O196" s="11" t="s">
        <v>1188</v>
      </c>
      <c r="P196" s="11"/>
      <c r="Q196" s="10"/>
    </row>
    <row r="197" ht="15" customHeight="1" spans="1:17" x14ac:dyDescent="0.25">
      <c r="A197" s="10" t="s">
        <v>1516</v>
      </c>
      <c r="B197" s="11" t="s">
        <v>1517</v>
      </c>
      <c r="C197" s="10" t="s">
        <v>241</v>
      </c>
      <c r="D197" s="10"/>
      <c r="E197" s="10"/>
      <c r="F197" s="10" t="s">
        <v>1184</v>
      </c>
      <c r="G197" s="10"/>
      <c r="H197" s="10" t="s">
        <v>1185</v>
      </c>
      <c r="I197" s="10" t="s">
        <v>1186</v>
      </c>
      <c r="J197" s="10">
        <v>1</v>
      </c>
      <c r="K197" s="10" t="b">
        <f>FALSE()</f>
        <v>0</v>
      </c>
      <c r="L197" s="10"/>
      <c r="M197" s="10" t="s">
        <v>1187</v>
      </c>
      <c r="N197" s="10"/>
      <c r="O197" s="11" t="s">
        <v>1188</v>
      </c>
      <c r="P197" s="11"/>
      <c r="Q197" s="10"/>
    </row>
    <row r="198" ht="15" customHeight="1" spans="1:17" x14ac:dyDescent="0.25">
      <c r="A198" s="10" t="s">
        <v>1518</v>
      </c>
      <c r="B198" s="11" t="s">
        <v>1519</v>
      </c>
      <c r="C198" s="10" t="s">
        <v>142</v>
      </c>
      <c r="D198" s="10"/>
      <c r="E198" s="10"/>
      <c r="F198" s="10" t="s">
        <v>1184</v>
      </c>
      <c r="G198" s="10"/>
      <c r="H198" s="10" t="s">
        <v>1185</v>
      </c>
      <c r="I198" s="10" t="s">
        <v>1186</v>
      </c>
      <c r="J198" s="10">
        <v>1</v>
      </c>
      <c r="K198" s="10" t="b">
        <f>FALSE()</f>
        <v>0</v>
      </c>
      <c r="L198" s="10"/>
      <c r="M198" s="10" t="s">
        <v>1187</v>
      </c>
      <c r="N198" s="10"/>
      <c r="O198" s="11" t="s">
        <v>1188</v>
      </c>
      <c r="P198" s="11"/>
      <c r="Q198" s="10"/>
    </row>
    <row r="199" ht="15" customHeight="1" spans="1:17" x14ac:dyDescent="0.25">
      <c r="A199" s="10" t="s">
        <v>1520</v>
      </c>
      <c r="B199" s="11" t="s">
        <v>1521</v>
      </c>
      <c r="C199" s="10" t="s">
        <v>241</v>
      </c>
      <c r="D199" s="10"/>
      <c r="E199" s="10"/>
      <c r="F199" s="10" t="s">
        <v>1184</v>
      </c>
      <c r="G199" s="10"/>
      <c r="H199" s="10" t="s">
        <v>1185</v>
      </c>
      <c r="I199" s="10" t="s">
        <v>1186</v>
      </c>
      <c r="J199" s="10">
        <v>1</v>
      </c>
      <c r="K199" s="10" t="b">
        <f>FALSE()</f>
        <v>0</v>
      </c>
      <c r="L199" s="10"/>
      <c r="M199" s="10" t="s">
        <v>1187</v>
      </c>
      <c r="N199" s="10"/>
      <c r="O199" s="11" t="s">
        <v>1188</v>
      </c>
      <c r="P199" s="11"/>
      <c r="Q199" s="10"/>
    </row>
    <row r="200" ht="15" customHeight="1" spans="1:17" x14ac:dyDescent="0.25">
      <c r="A200" s="10" t="s">
        <v>1522</v>
      </c>
      <c r="B200" s="11" t="s">
        <v>1523</v>
      </c>
      <c r="C200" s="10" t="s">
        <v>142</v>
      </c>
      <c r="D200" s="10"/>
      <c r="E200" s="10"/>
      <c r="F200" s="10" t="s">
        <v>1184</v>
      </c>
      <c r="G200" s="10"/>
      <c r="H200" s="10" t="s">
        <v>1185</v>
      </c>
      <c r="I200" s="10" t="s">
        <v>1186</v>
      </c>
      <c r="J200" s="10">
        <v>1</v>
      </c>
      <c r="K200" s="10" t="b">
        <f>FALSE()</f>
        <v>0</v>
      </c>
      <c r="L200" s="10"/>
      <c r="M200" s="10" t="s">
        <v>1187</v>
      </c>
      <c r="N200" s="10"/>
      <c r="O200" s="11" t="s">
        <v>1188</v>
      </c>
      <c r="P200" s="11"/>
      <c r="Q200" s="10"/>
    </row>
    <row r="201" ht="15" customHeight="1" spans="1:17" x14ac:dyDescent="0.25">
      <c r="A201" s="10" t="s">
        <v>1524</v>
      </c>
      <c r="B201" s="11" t="s">
        <v>1525</v>
      </c>
      <c r="C201" s="10" t="s">
        <v>241</v>
      </c>
      <c r="D201" s="10"/>
      <c r="E201" s="10"/>
      <c r="F201" s="10" t="s">
        <v>1184</v>
      </c>
      <c r="G201" s="10"/>
      <c r="H201" s="10" t="s">
        <v>1185</v>
      </c>
      <c r="I201" s="10" t="s">
        <v>1186</v>
      </c>
      <c r="J201" s="10">
        <v>1</v>
      </c>
      <c r="K201" s="10" t="b">
        <f>FALSE()</f>
        <v>0</v>
      </c>
      <c r="L201" s="10"/>
      <c r="M201" s="10" t="s">
        <v>1187</v>
      </c>
      <c r="N201" s="10"/>
      <c r="O201" s="11" t="s">
        <v>1188</v>
      </c>
      <c r="P201" s="11"/>
      <c r="Q201" s="10"/>
    </row>
    <row r="202" ht="15" customHeight="1" spans="1:17" x14ac:dyDescent="0.25">
      <c r="A202" s="10" t="s">
        <v>1526</v>
      </c>
      <c r="B202" s="11" t="s">
        <v>1527</v>
      </c>
      <c r="C202" s="10" t="s">
        <v>142</v>
      </c>
      <c r="D202" s="10"/>
      <c r="E202" s="10"/>
      <c r="F202" s="10" t="s">
        <v>1184</v>
      </c>
      <c r="G202" s="10"/>
      <c r="H202" s="10" t="s">
        <v>1185</v>
      </c>
      <c r="I202" s="10" t="s">
        <v>1186</v>
      </c>
      <c r="J202" s="10">
        <v>1</v>
      </c>
      <c r="K202" s="10" t="b">
        <f>FALSE()</f>
        <v>0</v>
      </c>
      <c r="L202" s="10"/>
      <c r="M202" s="10" t="s">
        <v>1187</v>
      </c>
      <c r="N202" s="10"/>
      <c r="O202" s="11" t="s">
        <v>1188</v>
      </c>
      <c r="P202" s="11"/>
      <c r="Q202" s="10"/>
    </row>
    <row r="203" ht="15" customHeight="1" spans="1:17" x14ac:dyDescent="0.25">
      <c r="A203" s="10" t="s">
        <v>1528</v>
      </c>
      <c r="B203" s="11" t="s">
        <v>1529</v>
      </c>
      <c r="C203" s="10" t="s">
        <v>241</v>
      </c>
      <c r="D203" s="10"/>
      <c r="E203" s="10"/>
      <c r="F203" s="10" t="s">
        <v>1184</v>
      </c>
      <c r="G203" s="10"/>
      <c r="H203" s="10" t="s">
        <v>1185</v>
      </c>
      <c r="I203" s="10" t="s">
        <v>1186</v>
      </c>
      <c r="J203" s="10">
        <v>1</v>
      </c>
      <c r="K203" s="10" t="b">
        <f>FALSE()</f>
        <v>0</v>
      </c>
      <c r="L203" s="10"/>
      <c r="M203" s="10" t="s">
        <v>1187</v>
      </c>
      <c r="N203" s="10"/>
      <c r="O203" s="11" t="s">
        <v>1188</v>
      </c>
      <c r="P203" s="11"/>
      <c r="Q203" s="10"/>
    </row>
    <row r="204" ht="15" customHeight="1" spans="1:17" x14ac:dyDescent="0.25">
      <c r="A204" s="10" t="s">
        <v>1530</v>
      </c>
      <c r="B204" s="11" t="s">
        <v>1531</v>
      </c>
      <c r="C204" s="10" t="s">
        <v>142</v>
      </c>
      <c r="D204" s="10"/>
      <c r="E204" s="10"/>
      <c r="F204" s="10" t="s">
        <v>1184</v>
      </c>
      <c r="G204" s="10"/>
      <c r="H204" s="10" t="s">
        <v>1185</v>
      </c>
      <c r="I204" s="10" t="s">
        <v>1186</v>
      </c>
      <c r="J204" s="10">
        <v>1</v>
      </c>
      <c r="K204" s="10" t="b">
        <f>FALSE()</f>
        <v>0</v>
      </c>
      <c r="L204" s="10"/>
      <c r="M204" s="10" t="s">
        <v>1187</v>
      </c>
      <c r="N204" s="10"/>
      <c r="O204" s="11" t="s">
        <v>1188</v>
      </c>
      <c r="P204" s="11"/>
      <c r="Q204" s="10"/>
    </row>
    <row r="205" ht="15" customHeight="1" spans="1:17" x14ac:dyDescent="0.25">
      <c r="A205" s="10" t="s">
        <v>1532</v>
      </c>
      <c r="B205" s="11" t="s">
        <v>1533</v>
      </c>
      <c r="C205" s="10" t="s">
        <v>241</v>
      </c>
      <c r="D205" s="10"/>
      <c r="E205" s="10"/>
      <c r="F205" s="10" t="s">
        <v>1184</v>
      </c>
      <c r="G205" s="10"/>
      <c r="H205" s="10" t="s">
        <v>1185</v>
      </c>
      <c r="I205" s="10" t="s">
        <v>1186</v>
      </c>
      <c r="J205" s="10">
        <v>1</v>
      </c>
      <c r="K205" s="10" t="b">
        <f>FALSE()</f>
        <v>0</v>
      </c>
      <c r="L205" s="10"/>
      <c r="M205" s="10" t="s">
        <v>1187</v>
      </c>
      <c r="N205" s="10"/>
      <c r="O205" s="11" t="s">
        <v>1188</v>
      </c>
      <c r="P205" s="11"/>
      <c r="Q205" s="10"/>
    </row>
    <row r="206" ht="15" customHeight="1" spans="1:17" x14ac:dyDescent="0.25">
      <c r="A206" s="10" t="s">
        <v>1534</v>
      </c>
      <c r="B206" s="11" t="s">
        <v>1535</v>
      </c>
      <c r="C206" s="10" t="s">
        <v>142</v>
      </c>
      <c r="D206" s="10"/>
      <c r="E206" s="10"/>
      <c r="F206" s="10" t="s">
        <v>1184</v>
      </c>
      <c r="G206" s="10"/>
      <c r="H206" s="10" t="s">
        <v>1185</v>
      </c>
      <c r="I206" s="10" t="s">
        <v>1186</v>
      </c>
      <c r="J206" s="10">
        <v>1</v>
      </c>
      <c r="K206" s="10" t="b">
        <f>FALSE()</f>
        <v>0</v>
      </c>
      <c r="L206" s="10"/>
      <c r="M206" s="10" t="s">
        <v>1187</v>
      </c>
      <c r="N206" s="10"/>
      <c r="O206" s="11" t="s">
        <v>1188</v>
      </c>
      <c r="P206" s="11"/>
      <c r="Q206" s="10"/>
    </row>
    <row r="207" ht="15" customHeight="1" spans="1:17" x14ac:dyDescent="0.25">
      <c r="A207" s="10" t="s">
        <v>1536</v>
      </c>
      <c r="B207" s="11" t="s">
        <v>1537</v>
      </c>
      <c r="C207" s="10" t="s">
        <v>241</v>
      </c>
      <c r="D207" s="10"/>
      <c r="E207" s="10"/>
      <c r="F207" s="10" t="s">
        <v>1184</v>
      </c>
      <c r="G207" s="10"/>
      <c r="H207" s="10" t="s">
        <v>1185</v>
      </c>
      <c r="I207" s="10" t="s">
        <v>1186</v>
      </c>
      <c r="J207" s="10">
        <v>1</v>
      </c>
      <c r="K207" s="10" t="b">
        <f>FALSE()</f>
        <v>0</v>
      </c>
      <c r="L207" s="10"/>
      <c r="M207" s="10" t="s">
        <v>1187</v>
      </c>
      <c r="N207" s="10"/>
      <c r="O207" s="11" t="s">
        <v>1188</v>
      </c>
      <c r="P207" s="11"/>
      <c r="Q207" s="10"/>
    </row>
    <row r="208" ht="15" customHeight="1" spans="1:17" x14ac:dyDescent="0.25">
      <c r="A208" s="10" t="s">
        <v>1538</v>
      </c>
      <c r="B208" s="11" t="s">
        <v>1539</v>
      </c>
      <c r="C208" s="10" t="s">
        <v>241</v>
      </c>
      <c r="D208" s="10"/>
      <c r="E208" s="10"/>
      <c r="F208" s="10" t="s">
        <v>1184</v>
      </c>
      <c r="G208" s="10"/>
      <c r="H208" s="10" t="s">
        <v>1185</v>
      </c>
      <c r="I208" s="10" t="s">
        <v>1186</v>
      </c>
      <c r="J208" s="10">
        <v>1</v>
      </c>
      <c r="K208" s="10" t="b">
        <f>FALSE()</f>
        <v>0</v>
      </c>
      <c r="L208" s="10"/>
      <c r="M208" s="10" t="s">
        <v>1187</v>
      </c>
      <c r="N208" s="10"/>
      <c r="O208" s="11" t="s">
        <v>1188</v>
      </c>
      <c r="P208" s="11"/>
      <c r="Q208" s="10"/>
    </row>
    <row r="209" ht="15" customHeight="1" spans="1:17" x14ac:dyDescent="0.25">
      <c r="A209" s="10" t="s">
        <v>1540</v>
      </c>
      <c r="B209" s="11" t="s">
        <v>1541</v>
      </c>
      <c r="C209" s="10" t="s">
        <v>241</v>
      </c>
      <c r="D209" s="10"/>
      <c r="E209" s="10"/>
      <c r="F209" s="10" t="s">
        <v>1184</v>
      </c>
      <c r="G209" s="10"/>
      <c r="H209" s="10" t="s">
        <v>1185</v>
      </c>
      <c r="I209" s="10" t="s">
        <v>1186</v>
      </c>
      <c r="J209" s="10">
        <v>1</v>
      </c>
      <c r="K209" s="10" t="b">
        <f>FALSE()</f>
        <v>0</v>
      </c>
      <c r="L209" s="10"/>
      <c r="M209" s="10" t="s">
        <v>1187</v>
      </c>
      <c r="N209" s="10"/>
      <c r="O209" s="11" t="s">
        <v>1188</v>
      </c>
      <c r="P209" s="11"/>
      <c r="Q209" s="10"/>
    </row>
    <row r="210" ht="15" customHeight="1" spans="1:17" x14ac:dyDescent="0.25">
      <c r="A210" s="10" t="s">
        <v>1542</v>
      </c>
      <c r="B210" s="11" t="s">
        <v>1543</v>
      </c>
      <c r="C210" s="10" t="s">
        <v>241</v>
      </c>
      <c r="D210" s="10"/>
      <c r="E210" s="10"/>
      <c r="F210" s="10" t="s">
        <v>1184</v>
      </c>
      <c r="G210" s="10"/>
      <c r="H210" s="10" t="s">
        <v>1185</v>
      </c>
      <c r="I210" s="10" t="s">
        <v>1186</v>
      </c>
      <c r="J210" s="10">
        <v>1</v>
      </c>
      <c r="K210" s="10" t="b">
        <f>FALSE()</f>
        <v>0</v>
      </c>
      <c r="L210" s="10"/>
      <c r="M210" s="10" t="s">
        <v>1187</v>
      </c>
      <c r="N210" s="10"/>
      <c r="O210" s="11" t="s">
        <v>1188</v>
      </c>
      <c r="P210" s="11"/>
      <c r="Q210" s="10"/>
    </row>
    <row r="211" ht="15" customHeight="1" spans="1:17" x14ac:dyDescent="0.25">
      <c r="A211" s="10" t="s">
        <v>1544</v>
      </c>
      <c r="B211" s="11" t="s">
        <v>1545</v>
      </c>
      <c r="C211" s="10" t="s">
        <v>241</v>
      </c>
      <c r="D211" s="10"/>
      <c r="E211" s="10"/>
      <c r="F211" s="10" t="s">
        <v>1184</v>
      </c>
      <c r="G211" s="10"/>
      <c r="H211" s="10" t="s">
        <v>1185</v>
      </c>
      <c r="I211" s="10" t="s">
        <v>1186</v>
      </c>
      <c r="J211" s="10">
        <v>1</v>
      </c>
      <c r="K211" s="10" t="b">
        <f>FALSE()</f>
        <v>0</v>
      </c>
      <c r="L211" s="10"/>
      <c r="M211" s="10" t="s">
        <v>1187</v>
      </c>
      <c r="N211" s="10"/>
      <c r="O211" s="11" t="s">
        <v>1188</v>
      </c>
      <c r="P211" s="11"/>
      <c r="Q211" s="10"/>
    </row>
    <row r="212" ht="15" customHeight="1" spans="1:17" x14ac:dyDescent="0.25">
      <c r="A212" s="10" t="s">
        <v>1546</v>
      </c>
      <c r="B212" s="11" t="s">
        <v>1547</v>
      </c>
      <c r="C212" s="10" t="s">
        <v>241</v>
      </c>
      <c r="D212" s="10"/>
      <c r="E212" s="10"/>
      <c r="F212" s="10" t="s">
        <v>1184</v>
      </c>
      <c r="G212" s="10"/>
      <c r="H212" s="10" t="s">
        <v>1185</v>
      </c>
      <c r="I212" s="10" t="s">
        <v>1186</v>
      </c>
      <c r="J212" s="10">
        <v>1</v>
      </c>
      <c r="K212" s="10" t="b">
        <f>FALSE()</f>
        <v>0</v>
      </c>
      <c r="L212" s="10"/>
      <c r="M212" s="10" t="s">
        <v>1187</v>
      </c>
      <c r="N212" s="10"/>
      <c r="O212" s="11" t="s">
        <v>1188</v>
      </c>
      <c r="P212" s="11"/>
      <c r="Q212" s="10"/>
    </row>
    <row r="213" ht="15" customHeight="1" spans="1:17" x14ac:dyDescent="0.25">
      <c r="A213" s="10" t="s">
        <v>1548</v>
      </c>
      <c r="B213" s="11" t="s">
        <v>1549</v>
      </c>
      <c r="C213" s="10" t="s">
        <v>241</v>
      </c>
      <c r="D213" s="10"/>
      <c r="E213" s="10"/>
      <c r="F213" s="10" t="s">
        <v>1184</v>
      </c>
      <c r="G213" s="10"/>
      <c r="H213" s="10" t="s">
        <v>1185</v>
      </c>
      <c r="I213" s="10" t="s">
        <v>1186</v>
      </c>
      <c r="J213" s="10">
        <v>1</v>
      </c>
      <c r="K213" s="10" t="b">
        <f>FALSE()</f>
        <v>0</v>
      </c>
      <c r="L213" s="10"/>
      <c r="M213" s="10" t="s">
        <v>1187</v>
      </c>
      <c r="N213" s="10"/>
      <c r="O213" s="11" t="s">
        <v>1188</v>
      </c>
      <c r="P213" s="11"/>
      <c r="Q213" s="10"/>
    </row>
    <row r="214" ht="15" customHeight="1" spans="1:17" x14ac:dyDescent="0.25">
      <c r="A214" s="10" t="s">
        <v>1550</v>
      </c>
      <c r="B214" s="11" t="s">
        <v>1551</v>
      </c>
      <c r="C214" s="10" t="s">
        <v>241</v>
      </c>
      <c r="D214" s="10"/>
      <c r="E214" s="10"/>
      <c r="F214" s="10" t="s">
        <v>1184</v>
      </c>
      <c r="G214" s="10"/>
      <c r="H214" s="10" t="s">
        <v>1185</v>
      </c>
      <c r="I214" s="10" t="s">
        <v>1186</v>
      </c>
      <c r="J214" s="10">
        <v>1</v>
      </c>
      <c r="K214" s="10" t="b">
        <f>FALSE()</f>
        <v>0</v>
      </c>
      <c r="L214" s="10"/>
      <c r="M214" s="10" t="s">
        <v>1187</v>
      </c>
      <c r="N214" s="10"/>
      <c r="O214" s="11" t="s">
        <v>1188</v>
      </c>
      <c r="P214" s="11"/>
      <c r="Q214" s="10"/>
    </row>
    <row r="215" ht="15" customHeight="1" spans="1:17" x14ac:dyDescent="0.25">
      <c r="A215" s="10" t="s">
        <v>1552</v>
      </c>
      <c r="B215" s="11" t="s">
        <v>1553</v>
      </c>
      <c r="C215" s="10" t="s">
        <v>241</v>
      </c>
      <c r="D215" s="10"/>
      <c r="E215" s="10"/>
      <c r="F215" s="10" t="s">
        <v>1184</v>
      </c>
      <c r="G215" s="10"/>
      <c r="H215" s="10" t="s">
        <v>1185</v>
      </c>
      <c r="I215" s="10" t="s">
        <v>1186</v>
      </c>
      <c r="J215" s="10">
        <v>1</v>
      </c>
      <c r="K215" s="10" t="b">
        <f>FALSE()</f>
        <v>0</v>
      </c>
      <c r="L215" s="10"/>
      <c r="M215" s="10" t="s">
        <v>1187</v>
      </c>
      <c r="N215" s="10"/>
      <c r="O215" s="11" t="s">
        <v>1188</v>
      </c>
      <c r="P215" s="11"/>
      <c r="Q215" s="10"/>
    </row>
    <row r="216" ht="15" customHeight="1" spans="1:17" x14ac:dyDescent="0.25">
      <c r="A216" s="10" t="s">
        <v>1554</v>
      </c>
      <c r="B216" s="11" t="s">
        <v>1555</v>
      </c>
      <c r="C216" s="10" t="s">
        <v>241</v>
      </c>
      <c r="D216" s="10"/>
      <c r="E216" s="10"/>
      <c r="F216" s="10" t="s">
        <v>1184</v>
      </c>
      <c r="G216" s="10"/>
      <c r="H216" s="10" t="s">
        <v>1185</v>
      </c>
      <c r="I216" s="10" t="s">
        <v>1186</v>
      </c>
      <c r="J216" s="10">
        <v>1</v>
      </c>
      <c r="K216" s="10" t="b">
        <f>FALSE()</f>
        <v>0</v>
      </c>
      <c r="L216" s="10"/>
      <c r="M216" s="10" t="s">
        <v>1187</v>
      </c>
      <c r="N216" s="10"/>
      <c r="O216" s="11" t="s">
        <v>1188</v>
      </c>
      <c r="P216" s="11"/>
      <c r="Q216" s="10"/>
    </row>
    <row r="217" ht="15" customHeight="1" spans="1:17" x14ac:dyDescent="0.25">
      <c r="A217" s="10" t="s">
        <v>1556</v>
      </c>
      <c r="B217" s="11" t="s">
        <v>1557</v>
      </c>
      <c r="C217" s="10" t="s">
        <v>241</v>
      </c>
      <c r="D217" s="10"/>
      <c r="E217" s="10"/>
      <c r="F217" s="10" t="s">
        <v>1184</v>
      </c>
      <c r="G217" s="10"/>
      <c r="H217" s="10" t="s">
        <v>1185</v>
      </c>
      <c r="I217" s="10" t="s">
        <v>1186</v>
      </c>
      <c r="J217" s="10">
        <v>1</v>
      </c>
      <c r="K217" s="10" t="b">
        <f>FALSE()</f>
        <v>0</v>
      </c>
      <c r="L217" s="10"/>
      <c r="M217" s="10" t="s">
        <v>1187</v>
      </c>
      <c r="N217" s="10"/>
      <c r="O217" s="11" t="s">
        <v>1188</v>
      </c>
      <c r="P217" s="11"/>
      <c r="Q217" s="10"/>
    </row>
    <row r="218" ht="15" customHeight="1" spans="1:17" x14ac:dyDescent="0.25">
      <c r="A218" s="10" t="s">
        <v>1558</v>
      </c>
      <c r="B218" s="11" t="s">
        <v>1559</v>
      </c>
      <c r="C218" s="10" t="s">
        <v>241</v>
      </c>
      <c r="D218" s="10"/>
      <c r="E218" s="10"/>
      <c r="F218" s="10" t="s">
        <v>1184</v>
      </c>
      <c r="G218" s="10"/>
      <c r="H218" s="10" t="s">
        <v>1185</v>
      </c>
      <c r="I218" s="10" t="s">
        <v>1186</v>
      </c>
      <c r="J218" s="10">
        <v>1</v>
      </c>
      <c r="K218" s="10" t="b">
        <f>FALSE()</f>
        <v>0</v>
      </c>
      <c r="L218" s="10"/>
      <c r="M218" s="10" t="s">
        <v>1187</v>
      </c>
      <c r="N218" s="10"/>
      <c r="O218" s="11" t="s">
        <v>1188</v>
      </c>
      <c r="P218" s="11"/>
      <c r="Q218" s="10"/>
    </row>
    <row r="219" ht="15" customHeight="1" spans="1:17" x14ac:dyDescent="0.25">
      <c r="A219" s="10" t="s">
        <v>1560</v>
      </c>
      <c r="B219" s="11" t="s">
        <v>1561</v>
      </c>
      <c r="C219" s="10" t="s">
        <v>241</v>
      </c>
      <c r="D219" s="10"/>
      <c r="E219" s="10"/>
      <c r="F219" s="10" t="s">
        <v>1184</v>
      </c>
      <c r="G219" s="10"/>
      <c r="H219" s="10" t="s">
        <v>1185</v>
      </c>
      <c r="I219" s="10" t="s">
        <v>1186</v>
      </c>
      <c r="J219" s="10">
        <v>1</v>
      </c>
      <c r="K219" s="10" t="b">
        <f>FALSE()</f>
        <v>0</v>
      </c>
      <c r="L219" s="10"/>
      <c r="M219" s="10" t="s">
        <v>1187</v>
      </c>
      <c r="N219" s="10"/>
      <c r="O219" s="11" t="s">
        <v>1188</v>
      </c>
      <c r="P219" s="11"/>
      <c r="Q219" s="10"/>
    </row>
    <row r="220" ht="15" customHeight="1" spans="1:17" x14ac:dyDescent="0.25">
      <c r="A220" s="10" t="s">
        <v>1562</v>
      </c>
      <c r="B220" s="11" t="s">
        <v>1563</v>
      </c>
      <c r="C220" s="10" t="s">
        <v>241</v>
      </c>
      <c r="D220" s="10"/>
      <c r="E220" s="10"/>
      <c r="F220" s="10" t="s">
        <v>1184</v>
      </c>
      <c r="G220" s="10"/>
      <c r="H220" s="10" t="s">
        <v>1185</v>
      </c>
      <c r="I220" s="10" t="s">
        <v>1186</v>
      </c>
      <c r="J220" s="10">
        <v>1</v>
      </c>
      <c r="K220" s="10" t="b">
        <f>FALSE()</f>
        <v>0</v>
      </c>
      <c r="L220" s="10"/>
      <c r="M220" s="10" t="s">
        <v>1187</v>
      </c>
      <c r="N220" s="10"/>
      <c r="O220" s="11" t="s">
        <v>1188</v>
      </c>
      <c r="P220" s="11"/>
      <c r="Q220" s="10"/>
    </row>
    <row r="221" ht="15" customHeight="1" spans="1:17" x14ac:dyDescent="0.25">
      <c r="A221" s="10" t="s">
        <v>1564</v>
      </c>
      <c r="B221" s="11" t="s">
        <v>1565</v>
      </c>
      <c r="C221" s="10" t="s">
        <v>241</v>
      </c>
      <c r="D221" s="10"/>
      <c r="E221" s="10"/>
      <c r="F221" s="10" t="s">
        <v>1184</v>
      </c>
      <c r="G221" s="10"/>
      <c r="H221" s="10" t="s">
        <v>1185</v>
      </c>
      <c r="I221" s="10" t="s">
        <v>1186</v>
      </c>
      <c r="J221" s="10">
        <v>1</v>
      </c>
      <c r="K221" s="10" t="b">
        <f>FALSE()</f>
        <v>0</v>
      </c>
      <c r="L221" s="10"/>
      <c r="M221" s="10" t="s">
        <v>1187</v>
      </c>
      <c r="N221" s="10"/>
      <c r="O221" s="11" t="s">
        <v>1188</v>
      </c>
      <c r="P221" s="11"/>
      <c r="Q221" s="10"/>
    </row>
    <row r="222" ht="15" customHeight="1" spans="1:17" x14ac:dyDescent="0.25">
      <c r="A222" s="10" t="s">
        <v>1566</v>
      </c>
      <c r="B222" s="11" t="s">
        <v>1567</v>
      </c>
      <c r="C222" s="10" t="s">
        <v>241</v>
      </c>
      <c r="D222" s="10"/>
      <c r="E222" s="10"/>
      <c r="F222" s="10" t="s">
        <v>1184</v>
      </c>
      <c r="G222" s="10"/>
      <c r="H222" s="10" t="s">
        <v>1185</v>
      </c>
      <c r="I222" s="10" t="s">
        <v>1186</v>
      </c>
      <c r="J222" s="10">
        <v>1</v>
      </c>
      <c r="K222" s="10" t="b">
        <f>FALSE()</f>
        <v>0</v>
      </c>
      <c r="L222" s="10"/>
      <c r="M222" s="10" t="s">
        <v>1187</v>
      </c>
      <c r="N222" s="10"/>
      <c r="O222" s="11" t="s">
        <v>1188</v>
      </c>
      <c r="P222" s="11"/>
      <c r="Q222" s="10"/>
    </row>
    <row r="223" ht="15" customHeight="1" spans="1:17" x14ac:dyDescent="0.25">
      <c r="A223" s="10" t="s">
        <v>1568</v>
      </c>
      <c r="B223" s="11" t="s">
        <v>1569</v>
      </c>
      <c r="C223" s="10" t="s">
        <v>241</v>
      </c>
      <c r="D223" s="10"/>
      <c r="E223" s="10"/>
      <c r="F223" s="10" t="s">
        <v>1184</v>
      </c>
      <c r="G223" s="10"/>
      <c r="H223" s="10" t="s">
        <v>1185</v>
      </c>
      <c r="I223" s="10" t="s">
        <v>1191</v>
      </c>
      <c r="J223" s="10">
        <v>1</v>
      </c>
      <c r="K223" s="10" t="b">
        <f>FALSE()</f>
        <v>0</v>
      </c>
      <c r="L223" s="10"/>
      <c r="M223" s="10" t="s">
        <v>1187</v>
      </c>
      <c r="N223" s="10"/>
      <c r="O223" s="11" t="s">
        <v>1188</v>
      </c>
      <c r="P223" s="11"/>
      <c r="Q223" s="10"/>
    </row>
    <row r="224" ht="15" customHeight="1" spans="1:17" x14ac:dyDescent="0.25">
      <c r="A224" s="10" t="s">
        <v>1570</v>
      </c>
      <c r="B224" s="11" t="s">
        <v>1571</v>
      </c>
      <c r="C224" s="10" t="s">
        <v>241</v>
      </c>
      <c r="D224" s="10"/>
      <c r="E224" s="10"/>
      <c r="F224" s="10" t="s">
        <v>1184</v>
      </c>
      <c r="G224" s="10"/>
      <c r="H224" s="10" t="s">
        <v>1185</v>
      </c>
      <c r="I224" s="10" t="s">
        <v>1191</v>
      </c>
      <c r="J224" s="10">
        <v>1</v>
      </c>
      <c r="K224" s="10" t="b">
        <f>FALSE()</f>
        <v>0</v>
      </c>
      <c r="L224" s="10"/>
      <c r="M224" s="10" t="s">
        <v>1187</v>
      </c>
      <c r="N224" s="10"/>
      <c r="O224" s="11" t="s">
        <v>1188</v>
      </c>
      <c r="P224" s="11"/>
      <c r="Q224" s="10"/>
    </row>
    <row r="225" ht="15" customHeight="1" spans="1:17" x14ac:dyDescent="0.25">
      <c r="A225" s="10" t="s">
        <v>1572</v>
      </c>
      <c r="B225" s="11" t="s">
        <v>1573</v>
      </c>
      <c r="C225" s="10" t="s">
        <v>241</v>
      </c>
      <c r="D225" s="10"/>
      <c r="E225" s="10"/>
      <c r="F225" s="10" t="s">
        <v>1184</v>
      </c>
      <c r="G225" s="10"/>
      <c r="H225" s="10" t="s">
        <v>1185</v>
      </c>
      <c r="I225" s="10" t="s">
        <v>1186</v>
      </c>
      <c r="J225" s="10">
        <v>1</v>
      </c>
      <c r="K225" s="10" t="b">
        <f>FALSE()</f>
        <v>0</v>
      </c>
      <c r="L225" s="10"/>
      <c r="M225" s="10" t="s">
        <v>1187</v>
      </c>
      <c r="N225" s="10"/>
      <c r="O225" s="11" t="s">
        <v>1188</v>
      </c>
      <c r="P225" s="11"/>
      <c r="Q225" s="10"/>
    </row>
    <row r="226" ht="15" customHeight="1" spans="1:17" x14ac:dyDescent="0.25">
      <c r="A226" s="10" t="s">
        <v>1574</v>
      </c>
      <c r="B226" s="11" t="s">
        <v>1575</v>
      </c>
      <c r="C226" s="10" t="s">
        <v>241</v>
      </c>
      <c r="D226" s="10"/>
      <c r="E226" s="10"/>
      <c r="F226" s="10" t="s">
        <v>1184</v>
      </c>
      <c r="G226" s="10"/>
      <c r="H226" s="10" t="s">
        <v>1185</v>
      </c>
      <c r="I226" s="10" t="s">
        <v>1186</v>
      </c>
      <c r="J226" s="10">
        <v>1</v>
      </c>
      <c r="K226" s="10" t="b">
        <f>FALSE()</f>
        <v>0</v>
      </c>
      <c r="L226" s="10"/>
      <c r="M226" s="10" t="s">
        <v>1187</v>
      </c>
      <c r="N226" s="10"/>
      <c r="O226" s="11" t="s">
        <v>1188</v>
      </c>
      <c r="P226" s="11"/>
      <c r="Q226" s="10"/>
    </row>
    <row r="227" ht="15" customHeight="1" spans="1:17" x14ac:dyDescent="0.25">
      <c r="A227" s="10" t="s">
        <v>1576</v>
      </c>
      <c r="B227" s="11" t="s">
        <v>1577</v>
      </c>
      <c r="C227" s="10" t="s">
        <v>241</v>
      </c>
      <c r="D227" s="10"/>
      <c r="E227" s="10"/>
      <c r="F227" s="10" t="s">
        <v>1184</v>
      </c>
      <c r="G227" s="10"/>
      <c r="H227" s="10" t="s">
        <v>1185</v>
      </c>
      <c r="I227" s="10" t="s">
        <v>121</v>
      </c>
      <c r="J227" s="10">
        <v>2</v>
      </c>
      <c r="K227" s="10" t="b">
        <f>FALSE()</f>
        <v>0</v>
      </c>
      <c r="L227" s="10"/>
      <c r="M227" s="10" t="s">
        <v>1296</v>
      </c>
      <c r="N227" s="10"/>
      <c r="O227" s="11" t="s">
        <v>1297</v>
      </c>
      <c r="P227" s="11"/>
      <c r="Q227" s="10"/>
    </row>
    <row r="228" ht="15" customHeight="1" spans="1:17" x14ac:dyDescent="0.25">
      <c r="A228" s="10" t="s">
        <v>1578</v>
      </c>
      <c r="B228" s="11" t="s">
        <v>1579</v>
      </c>
      <c r="C228" s="10" t="s">
        <v>241</v>
      </c>
      <c r="D228" s="10"/>
      <c r="E228" s="10"/>
      <c r="F228" s="10" t="s">
        <v>1184</v>
      </c>
      <c r="G228" s="10"/>
      <c r="H228" s="10" t="s">
        <v>1185</v>
      </c>
      <c r="I228" s="10" t="s">
        <v>1186</v>
      </c>
      <c r="J228" s="10">
        <v>1</v>
      </c>
      <c r="K228" s="10" t="b">
        <f>FALSE()</f>
        <v>0</v>
      </c>
      <c r="L228" s="10"/>
      <c r="M228" s="10" t="s">
        <v>1187</v>
      </c>
      <c r="N228" s="10"/>
      <c r="O228" s="11" t="s">
        <v>1188</v>
      </c>
      <c r="P228" s="11"/>
      <c r="Q228" s="10"/>
    </row>
    <row r="229" ht="15" customHeight="1" spans="1:17" x14ac:dyDescent="0.25">
      <c r="A229" s="10" t="s">
        <v>1580</v>
      </c>
      <c r="B229" s="11" t="s">
        <v>1581</v>
      </c>
      <c r="C229" s="10" t="s">
        <v>241</v>
      </c>
      <c r="D229" s="10"/>
      <c r="E229" s="10"/>
      <c r="F229" s="10" t="s">
        <v>1184</v>
      </c>
      <c r="G229" s="10"/>
      <c r="H229" s="10" t="s">
        <v>1185</v>
      </c>
      <c r="I229" s="10" t="s">
        <v>1186</v>
      </c>
      <c r="J229" s="10">
        <v>1</v>
      </c>
      <c r="K229" s="10" t="b">
        <f>FALSE()</f>
        <v>0</v>
      </c>
      <c r="L229" s="10"/>
      <c r="M229" s="10" t="s">
        <v>1187</v>
      </c>
      <c r="N229" s="10"/>
      <c r="O229" s="11" t="s">
        <v>1188</v>
      </c>
      <c r="P229" s="11"/>
      <c r="Q229" s="10"/>
    </row>
    <row r="230" ht="15" customHeight="1" spans="1:17" x14ac:dyDescent="0.25">
      <c r="A230" s="10" t="s">
        <v>1582</v>
      </c>
      <c r="B230" s="11" t="s">
        <v>1583</v>
      </c>
      <c r="C230" s="10" t="s">
        <v>241</v>
      </c>
      <c r="D230" s="10"/>
      <c r="E230" s="10"/>
      <c r="F230" s="10" t="s">
        <v>1184</v>
      </c>
      <c r="G230" s="10"/>
      <c r="H230" s="10" t="s">
        <v>1185</v>
      </c>
      <c r="I230" s="10" t="s">
        <v>1186</v>
      </c>
      <c r="J230" s="10">
        <v>1</v>
      </c>
      <c r="K230" s="10" t="b">
        <f>FALSE()</f>
        <v>0</v>
      </c>
      <c r="L230" s="10"/>
      <c r="M230" s="10" t="s">
        <v>1187</v>
      </c>
      <c r="N230" s="10"/>
      <c r="O230" s="11" t="s">
        <v>1188</v>
      </c>
      <c r="P230" s="11"/>
      <c r="Q230" s="10"/>
    </row>
    <row r="231" ht="15" customHeight="1" spans="1:17" x14ac:dyDescent="0.25">
      <c r="A231" s="10" t="s">
        <v>1584</v>
      </c>
      <c r="B231" s="11" t="s">
        <v>1585</v>
      </c>
      <c r="C231" s="10" t="s">
        <v>241</v>
      </c>
      <c r="D231" s="10"/>
      <c r="E231" s="10"/>
      <c r="F231" s="10" t="s">
        <v>1184</v>
      </c>
      <c r="G231" s="10"/>
      <c r="H231" s="10" t="s">
        <v>1185</v>
      </c>
      <c r="I231" s="10" t="s">
        <v>1186</v>
      </c>
      <c r="J231" s="10">
        <v>1</v>
      </c>
      <c r="K231" s="10" t="b">
        <f>FALSE()</f>
        <v>0</v>
      </c>
      <c r="L231" s="10"/>
      <c r="M231" s="10" t="s">
        <v>1187</v>
      </c>
      <c r="N231" s="10"/>
      <c r="O231" s="11" t="s">
        <v>1188</v>
      </c>
      <c r="P231" s="11"/>
      <c r="Q231" s="10"/>
    </row>
    <row r="232" ht="15" customHeight="1" spans="1:17" x14ac:dyDescent="0.25">
      <c r="A232" s="10" t="s">
        <v>1586</v>
      </c>
      <c r="B232" s="11" t="s">
        <v>1587</v>
      </c>
      <c r="C232" s="10" t="s">
        <v>241</v>
      </c>
      <c r="D232" s="10"/>
      <c r="E232" s="10"/>
      <c r="F232" s="10" t="s">
        <v>1184</v>
      </c>
      <c r="G232" s="10"/>
      <c r="H232" s="10" t="s">
        <v>1185</v>
      </c>
      <c r="I232" s="10" t="s">
        <v>1186</v>
      </c>
      <c r="J232" s="10">
        <v>1</v>
      </c>
      <c r="K232" s="10" t="b">
        <f>FALSE()</f>
        <v>0</v>
      </c>
      <c r="L232" s="10"/>
      <c r="M232" s="10" t="s">
        <v>1187</v>
      </c>
      <c r="N232" s="10"/>
      <c r="O232" s="11" t="s">
        <v>1188</v>
      </c>
      <c r="P232" s="11"/>
      <c r="Q232" s="10"/>
    </row>
    <row r="233" ht="15" customHeight="1" spans="1:17" x14ac:dyDescent="0.25">
      <c r="A233" s="10" t="s">
        <v>1588</v>
      </c>
      <c r="B233" s="11" t="s">
        <v>1589</v>
      </c>
      <c r="C233" s="10" t="s">
        <v>241</v>
      </c>
      <c r="D233" s="10"/>
      <c r="E233" s="10"/>
      <c r="F233" s="10" t="s">
        <v>1184</v>
      </c>
      <c r="G233" s="10"/>
      <c r="H233" s="10" t="s">
        <v>1185</v>
      </c>
      <c r="I233" s="10" t="s">
        <v>1186</v>
      </c>
      <c r="J233" s="10">
        <v>1</v>
      </c>
      <c r="K233" s="10" t="b">
        <f>FALSE()</f>
        <v>0</v>
      </c>
      <c r="L233" s="10"/>
      <c r="M233" s="10" t="s">
        <v>1187</v>
      </c>
      <c r="N233" s="10"/>
      <c r="O233" s="11" t="s">
        <v>1188</v>
      </c>
      <c r="P233" s="11"/>
      <c r="Q233" s="10"/>
    </row>
    <row r="234" ht="15" customHeight="1" spans="1:17" x14ac:dyDescent="0.25">
      <c r="A234" s="10" t="s">
        <v>1590</v>
      </c>
      <c r="B234" s="11" t="s">
        <v>1591</v>
      </c>
      <c r="C234" s="10" t="s">
        <v>241</v>
      </c>
      <c r="D234" s="10"/>
      <c r="E234" s="10"/>
      <c r="F234" s="10" t="s">
        <v>1184</v>
      </c>
      <c r="G234" s="10"/>
      <c r="H234" s="10" t="s">
        <v>1185</v>
      </c>
      <c r="I234" s="10" t="s">
        <v>1191</v>
      </c>
      <c r="J234" s="10">
        <v>1</v>
      </c>
      <c r="K234" s="10" t="b">
        <f>FALSE()</f>
        <v>0</v>
      </c>
      <c r="L234" s="10"/>
      <c r="M234" s="10" t="s">
        <v>1187</v>
      </c>
      <c r="N234" s="10"/>
      <c r="O234" s="11" t="s">
        <v>1188</v>
      </c>
      <c r="P234" s="11"/>
      <c r="Q234" s="10"/>
    </row>
    <row r="235" ht="15" customHeight="1" spans="1:17" x14ac:dyDescent="0.25">
      <c r="A235" s="10" t="s">
        <v>1592</v>
      </c>
      <c r="B235" s="11" t="s">
        <v>1593</v>
      </c>
      <c r="C235" s="10" t="s">
        <v>241</v>
      </c>
      <c r="D235" s="10"/>
      <c r="E235" s="10"/>
      <c r="F235" s="10" t="s">
        <v>1184</v>
      </c>
      <c r="G235" s="10"/>
      <c r="H235" s="10" t="s">
        <v>1185</v>
      </c>
      <c r="I235" s="10" t="s">
        <v>1191</v>
      </c>
      <c r="J235" s="10">
        <v>1</v>
      </c>
      <c r="K235" s="10" t="b">
        <f>FALSE()</f>
        <v>0</v>
      </c>
      <c r="L235" s="10"/>
      <c r="M235" s="10" t="s">
        <v>1187</v>
      </c>
      <c r="N235" s="10"/>
      <c r="O235" s="11" t="s">
        <v>1188</v>
      </c>
      <c r="P235" s="11"/>
      <c r="Q235" s="10"/>
    </row>
    <row r="236" ht="15" customHeight="1" spans="1:17" x14ac:dyDescent="0.25">
      <c r="A236" s="10" t="s">
        <v>1594</v>
      </c>
      <c r="B236" s="11" t="s">
        <v>1595</v>
      </c>
      <c r="C236" s="10" t="s">
        <v>241</v>
      </c>
      <c r="D236" s="10"/>
      <c r="E236" s="10"/>
      <c r="F236" s="10" t="s">
        <v>1184</v>
      </c>
      <c r="G236" s="10"/>
      <c r="H236" s="10" t="s">
        <v>1185</v>
      </c>
      <c r="I236" s="10" t="s">
        <v>1186</v>
      </c>
      <c r="J236" s="10">
        <v>1</v>
      </c>
      <c r="K236" s="10" t="b">
        <f>FALSE()</f>
        <v>0</v>
      </c>
      <c r="L236" s="10"/>
      <c r="M236" s="10" t="s">
        <v>1187</v>
      </c>
      <c r="N236" s="10"/>
      <c r="O236" s="11" t="s">
        <v>1188</v>
      </c>
      <c r="P236" s="11"/>
      <c r="Q236" s="10"/>
    </row>
    <row r="237" ht="15" customHeight="1" spans="1:17" x14ac:dyDescent="0.25">
      <c r="A237" s="10" t="s">
        <v>1596</v>
      </c>
      <c r="B237" s="11" t="s">
        <v>1597</v>
      </c>
      <c r="C237" s="10" t="s">
        <v>241</v>
      </c>
      <c r="D237" s="10"/>
      <c r="E237" s="10"/>
      <c r="F237" s="10" t="s">
        <v>1184</v>
      </c>
      <c r="G237" s="10"/>
      <c r="H237" s="10" t="s">
        <v>1185</v>
      </c>
      <c r="I237" s="10" t="s">
        <v>1186</v>
      </c>
      <c r="J237" s="10">
        <v>1</v>
      </c>
      <c r="K237" s="10" t="b">
        <f>FALSE()</f>
        <v>0</v>
      </c>
      <c r="L237" s="10"/>
      <c r="M237" s="10" t="s">
        <v>1187</v>
      </c>
      <c r="N237" s="10"/>
      <c r="O237" s="11" t="s">
        <v>1188</v>
      </c>
      <c r="P237" s="11"/>
      <c r="Q237" s="10"/>
    </row>
    <row r="238" ht="15" customHeight="1" spans="1:17" x14ac:dyDescent="0.25">
      <c r="A238" s="10" t="s">
        <v>1598</v>
      </c>
      <c r="B238" s="11" t="s">
        <v>1599</v>
      </c>
      <c r="C238" s="10" t="s">
        <v>241</v>
      </c>
      <c r="D238" s="10"/>
      <c r="E238" s="10"/>
      <c r="F238" s="10" t="s">
        <v>1184</v>
      </c>
      <c r="G238" s="10"/>
      <c r="H238" s="10" t="s">
        <v>1185</v>
      </c>
      <c r="I238" s="10" t="s">
        <v>1186</v>
      </c>
      <c r="J238" s="10">
        <v>1</v>
      </c>
      <c r="K238" s="10" t="b">
        <f>FALSE()</f>
        <v>0</v>
      </c>
      <c r="L238" s="10"/>
      <c r="M238" s="10" t="s">
        <v>1187</v>
      </c>
      <c r="N238" s="10"/>
      <c r="O238" s="11" t="s">
        <v>1188</v>
      </c>
      <c r="P238" s="11"/>
      <c r="Q238" s="10"/>
    </row>
    <row r="239" ht="15" customHeight="1" spans="1:17" x14ac:dyDescent="0.25">
      <c r="A239" s="10" t="s">
        <v>1600</v>
      </c>
      <c r="B239" s="11" t="s">
        <v>1601</v>
      </c>
      <c r="C239" s="10" t="s">
        <v>150</v>
      </c>
      <c r="D239" s="10"/>
      <c r="E239" s="10"/>
      <c r="F239" s="10" t="s">
        <v>1184</v>
      </c>
      <c r="G239" s="10"/>
      <c r="H239" s="10" t="s">
        <v>1185</v>
      </c>
      <c r="I239" s="10" t="s">
        <v>1186</v>
      </c>
      <c r="J239" s="10">
        <v>1</v>
      </c>
      <c r="K239" s="10" t="b">
        <f>FALSE()</f>
        <v>0</v>
      </c>
      <c r="L239" s="10"/>
      <c r="M239" s="10" t="s">
        <v>1187</v>
      </c>
      <c r="N239" s="10"/>
      <c r="O239" s="11" t="s">
        <v>1188</v>
      </c>
      <c r="P239" s="11"/>
      <c r="Q239" s="10"/>
    </row>
    <row r="240" ht="15" customHeight="1" spans="1:17" x14ac:dyDescent="0.25">
      <c r="A240" s="10" t="s">
        <v>1602</v>
      </c>
      <c r="B240" s="11" t="s">
        <v>1603</v>
      </c>
      <c r="C240" s="10" t="s">
        <v>241</v>
      </c>
      <c r="D240" s="10"/>
      <c r="E240" s="10"/>
      <c r="F240" s="10" t="s">
        <v>1184</v>
      </c>
      <c r="G240" s="10"/>
      <c r="H240" s="10" t="s">
        <v>1185</v>
      </c>
      <c r="I240" s="10" t="s">
        <v>1191</v>
      </c>
      <c r="J240" s="10">
        <v>1</v>
      </c>
      <c r="K240" s="10" t="b">
        <f>FALSE()</f>
        <v>0</v>
      </c>
      <c r="L240" s="10"/>
      <c r="M240" s="10" t="s">
        <v>1187</v>
      </c>
      <c r="N240" s="10"/>
      <c r="O240" s="11" t="s">
        <v>1188</v>
      </c>
      <c r="P240" s="11"/>
      <c r="Q240" s="10"/>
    </row>
    <row r="241" ht="15" customHeight="1" spans="1:17" x14ac:dyDescent="0.25">
      <c r="A241" s="10" t="s">
        <v>1604</v>
      </c>
      <c r="B241" s="11" t="s">
        <v>1605</v>
      </c>
      <c r="C241" s="10" t="s">
        <v>241</v>
      </c>
      <c r="D241" s="10"/>
      <c r="E241" s="10"/>
      <c r="F241" s="10" t="s">
        <v>1184</v>
      </c>
      <c r="G241" s="10"/>
      <c r="H241" s="10" t="s">
        <v>1185</v>
      </c>
      <c r="I241" s="10" t="s">
        <v>1186</v>
      </c>
      <c r="J241" s="10">
        <v>1</v>
      </c>
      <c r="K241" s="10" t="b">
        <f>FALSE()</f>
        <v>0</v>
      </c>
      <c r="L241" s="10"/>
      <c r="M241" s="10" t="s">
        <v>1187</v>
      </c>
      <c r="N241" s="10"/>
      <c r="O241" s="11" t="s">
        <v>1188</v>
      </c>
      <c r="P241" s="11"/>
      <c r="Q241" s="10"/>
    </row>
    <row r="242" ht="15" customHeight="1" spans="1:17" x14ac:dyDescent="0.25">
      <c r="A242" s="10" t="s">
        <v>1606</v>
      </c>
      <c r="B242" s="11" t="s">
        <v>1607</v>
      </c>
      <c r="C242" s="10" t="s">
        <v>241</v>
      </c>
      <c r="D242" s="10"/>
      <c r="E242" s="10"/>
      <c r="F242" s="10" t="s">
        <v>1184</v>
      </c>
      <c r="G242" s="10"/>
      <c r="H242" s="10" t="s">
        <v>1185</v>
      </c>
      <c r="I242" s="10" t="s">
        <v>1186</v>
      </c>
      <c r="J242" s="10">
        <v>1</v>
      </c>
      <c r="K242" s="10" t="b">
        <f>FALSE()</f>
        <v>0</v>
      </c>
      <c r="L242" s="10"/>
      <c r="M242" s="10" t="s">
        <v>1187</v>
      </c>
      <c r="N242" s="10"/>
      <c r="O242" s="11" t="s">
        <v>1188</v>
      </c>
      <c r="P242" s="11"/>
      <c r="Q242" s="10"/>
    </row>
    <row r="243" ht="15" customHeight="1" spans="1:17" x14ac:dyDescent="0.25">
      <c r="A243" s="10" t="s">
        <v>1608</v>
      </c>
      <c r="B243" s="11" t="s">
        <v>1609</v>
      </c>
      <c r="C243" s="10" t="s">
        <v>241</v>
      </c>
      <c r="D243" s="10"/>
      <c r="E243" s="10"/>
      <c r="F243" s="10" t="s">
        <v>1184</v>
      </c>
      <c r="G243" s="10"/>
      <c r="H243" s="10" t="s">
        <v>1185</v>
      </c>
      <c r="I243" s="10" t="s">
        <v>1186</v>
      </c>
      <c r="J243" s="10">
        <v>1</v>
      </c>
      <c r="K243" s="10" t="b">
        <f>FALSE()</f>
        <v>0</v>
      </c>
      <c r="L243" s="10"/>
      <c r="M243" s="10" t="s">
        <v>1187</v>
      </c>
      <c r="N243" s="10"/>
      <c r="O243" s="11" t="s">
        <v>1188</v>
      </c>
      <c r="P243" s="11"/>
      <c r="Q243" s="10"/>
    </row>
    <row r="244" ht="15" customHeight="1" spans="1:17" x14ac:dyDescent="0.25">
      <c r="A244" s="10" t="s">
        <v>1610</v>
      </c>
      <c r="B244" s="11" t="s">
        <v>1611</v>
      </c>
      <c r="C244" s="10" t="s">
        <v>241</v>
      </c>
      <c r="D244" s="10"/>
      <c r="E244" s="10"/>
      <c r="F244" s="10" t="s">
        <v>1184</v>
      </c>
      <c r="G244" s="10"/>
      <c r="H244" s="10" t="s">
        <v>1185</v>
      </c>
      <c r="I244" s="10" t="s">
        <v>1186</v>
      </c>
      <c r="J244" s="10">
        <v>1</v>
      </c>
      <c r="K244" s="10" t="b">
        <f>FALSE()</f>
        <v>0</v>
      </c>
      <c r="L244" s="10"/>
      <c r="M244" s="10" t="s">
        <v>1187</v>
      </c>
      <c r="N244" s="10"/>
      <c r="O244" s="11" t="s">
        <v>1188</v>
      </c>
      <c r="P244" s="11"/>
      <c r="Q244" s="10"/>
    </row>
    <row r="245" ht="15" customHeight="1" spans="1:17" x14ac:dyDescent="0.25">
      <c r="A245" s="10" t="s">
        <v>1612</v>
      </c>
      <c r="B245" s="11" t="s">
        <v>1613</v>
      </c>
      <c r="C245" s="10" t="s">
        <v>241</v>
      </c>
      <c r="D245" s="10"/>
      <c r="E245" s="10"/>
      <c r="F245" s="10" t="s">
        <v>1184</v>
      </c>
      <c r="G245" s="10"/>
      <c r="H245" s="10" t="s">
        <v>1185</v>
      </c>
      <c r="I245" s="10" t="s">
        <v>1186</v>
      </c>
      <c r="J245" s="10">
        <v>1</v>
      </c>
      <c r="K245" s="10" t="b">
        <f>FALSE()</f>
        <v>0</v>
      </c>
      <c r="L245" s="10"/>
      <c r="M245" s="10" t="s">
        <v>1187</v>
      </c>
      <c r="N245" s="10"/>
      <c r="O245" s="11" t="s">
        <v>1188</v>
      </c>
      <c r="P245" s="11"/>
      <c r="Q245" s="10"/>
    </row>
    <row r="246" ht="15" customHeight="1" spans="1:17" x14ac:dyDescent="0.25">
      <c r="A246" s="10" t="s">
        <v>1614</v>
      </c>
      <c r="B246" s="11" t="s">
        <v>1615</v>
      </c>
      <c r="C246" s="10" t="s">
        <v>241</v>
      </c>
      <c r="D246" s="10"/>
      <c r="E246" s="10"/>
      <c r="F246" s="10" t="s">
        <v>1184</v>
      </c>
      <c r="G246" s="10"/>
      <c r="H246" s="10" t="s">
        <v>1185</v>
      </c>
      <c r="I246" s="10" t="s">
        <v>1186</v>
      </c>
      <c r="J246" s="10">
        <v>1</v>
      </c>
      <c r="K246" s="10" t="b">
        <f>FALSE()</f>
        <v>0</v>
      </c>
      <c r="L246" s="10"/>
      <c r="M246" s="10" t="s">
        <v>1187</v>
      </c>
      <c r="N246" s="10"/>
      <c r="O246" s="11" t="s">
        <v>1188</v>
      </c>
      <c r="P246" s="11"/>
      <c r="Q246" s="10"/>
    </row>
    <row r="247" ht="15" customHeight="1" spans="1:17" x14ac:dyDescent="0.25">
      <c r="A247" s="10" t="s">
        <v>1616</v>
      </c>
      <c r="B247" s="11" t="s">
        <v>1617</v>
      </c>
      <c r="C247" s="10" t="s">
        <v>241</v>
      </c>
      <c r="D247" s="10"/>
      <c r="E247" s="10"/>
      <c r="F247" s="10" t="s">
        <v>1184</v>
      </c>
      <c r="G247" s="10"/>
      <c r="H247" s="10" t="s">
        <v>1185</v>
      </c>
      <c r="I247" s="10" t="s">
        <v>1194</v>
      </c>
      <c r="J247" s="10">
        <v>1</v>
      </c>
      <c r="K247" s="10" t="b">
        <f>FALSE()</f>
        <v>0</v>
      </c>
      <c r="L247" s="10"/>
      <c r="M247" s="10" t="s">
        <v>1187</v>
      </c>
      <c r="N247" s="10"/>
      <c r="O247" s="11" t="s">
        <v>1188</v>
      </c>
      <c r="P247" s="11"/>
      <c r="Q247" s="10"/>
    </row>
    <row r="248" ht="15" customHeight="1" spans="1:17" x14ac:dyDescent="0.25">
      <c r="A248" s="10" t="s">
        <v>1618</v>
      </c>
      <c r="B248" s="11" t="s">
        <v>1619</v>
      </c>
      <c r="C248" s="10" t="s">
        <v>241</v>
      </c>
      <c r="D248" s="10"/>
      <c r="E248" s="10"/>
      <c r="F248" s="10" t="s">
        <v>1184</v>
      </c>
      <c r="G248" s="10"/>
      <c r="H248" s="10" t="s">
        <v>1185</v>
      </c>
      <c r="I248" s="10" t="s">
        <v>121</v>
      </c>
      <c r="J248" s="10">
        <v>2</v>
      </c>
      <c r="K248" s="10" t="b">
        <f>FALSE()</f>
        <v>0</v>
      </c>
      <c r="L248" s="10"/>
      <c r="M248" s="10" t="s">
        <v>1296</v>
      </c>
      <c r="N248" s="10"/>
      <c r="O248" s="11" t="s">
        <v>1297</v>
      </c>
      <c r="P248" s="11"/>
      <c r="Q248" s="10"/>
    </row>
    <row r="249" ht="15" customHeight="1" spans="1:17" x14ac:dyDescent="0.25">
      <c r="A249" s="10" t="s">
        <v>1620</v>
      </c>
      <c r="B249" s="11" t="s">
        <v>1621</v>
      </c>
      <c r="C249" s="10" t="s">
        <v>241</v>
      </c>
      <c r="D249" s="10"/>
      <c r="E249" s="10"/>
      <c r="F249" s="10" t="s">
        <v>1184</v>
      </c>
      <c r="G249" s="10"/>
      <c r="H249" s="10" t="s">
        <v>1185</v>
      </c>
      <c r="I249" s="10" t="s">
        <v>1186</v>
      </c>
      <c r="J249" s="10">
        <v>1</v>
      </c>
      <c r="K249" s="10" t="b">
        <f>FALSE()</f>
        <v>0</v>
      </c>
      <c r="L249" s="10"/>
      <c r="M249" s="10" t="s">
        <v>1187</v>
      </c>
      <c r="N249" s="10"/>
      <c r="O249" s="11" t="s">
        <v>1188</v>
      </c>
      <c r="P249" s="11"/>
      <c r="Q249" s="10"/>
    </row>
    <row r="250" ht="15" customHeight="1" spans="1:17" x14ac:dyDescent="0.25">
      <c r="A250" s="10" t="s">
        <v>1622</v>
      </c>
      <c r="B250" s="11" t="s">
        <v>1623</v>
      </c>
      <c r="C250" s="10" t="s">
        <v>241</v>
      </c>
      <c r="D250" s="10"/>
      <c r="E250" s="10"/>
      <c r="F250" s="10" t="s">
        <v>1184</v>
      </c>
      <c r="G250" s="10"/>
      <c r="H250" s="10" t="s">
        <v>1185</v>
      </c>
      <c r="I250" s="10" t="s">
        <v>1186</v>
      </c>
      <c r="J250" s="10">
        <v>1</v>
      </c>
      <c r="K250" s="10" t="b">
        <f>FALSE()</f>
        <v>0</v>
      </c>
      <c r="L250" s="10"/>
      <c r="M250" s="10" t="s">
        <v>1187</v>
      </c>
      <c r="N250" s="10"/>
      <c r="O250" s="11" t="s">
        <v>1188</v>
      </c>
      <c r="P250" s="11"/>
      <c r="Q250" s="10"/>
    </row>
    <row r="251" ht="15" customHeight="1" spans="1:17" x14ac:dyDescent="0.25">
      <c r="A251" s="10" t="s">
        <v>1624</v>
      </c>
      <c r="B251" s="11" t="s">
        <v>1625</v>
      </c>
      <c r="C251" s="10" t="s">
        <v>241</v>
      </c>
      <c r="D251" s="10"/>
      <c r="E251" s="10"/>
      <c r="F251" s="10" t="s">
        <v>1184</v>
      </c>
      <c r="G251" s="10"/>
      <c r="H251" s="10" t="s">
        <v>1185</v>
      </c>
      <c r="I251" s="10" t="s">
        <v>1186</v>
      </c>
      <c r="J251" s="10">
        <v>1</v>
      </c>
      <c r="K251" s="10" t="b">
        <f>FALSE()</f>
        <v>0</v>
      </c>
      <c r="L251" s="10"/>
      <c r="M251" s="10" t="s">
        <v>1187</v>
      </c>
      <c r="N251" s="10"/>
      <c r="O251" s="11" t="s">
        <v>1188</v>
      </c>
      <c r="P251" s="11"/>
      <c r="Q251" s="10"/>
    </row>
    <row r="252" ht="23.85" customHeight="1" spans="1:17" x14ac:dyDescent="0.25">
      <c r="A252" s="10" t="s">
        <v>1626</v>
      </c>
      <c r="B252" s="11" t="s">
        <v>1627</v>
      </c>
      <c r="C252" s="10" t="s">
        <v>241</v>
      </c>
      <c r="D252" s="10"/>
      <c r="E252" s="10"/>
      <c r="F252" s="10" t="s">
        <v>1184</v>
      </c>
      <c r="G252" s="10"/>
      <c r="H252" s="10" t="s">
        <v>1185</v>
      </c>
      <c r="I252" s="10" t="s">
        <v>1186</v>
      </c>
      <c r="J252" s="10">
        <v>1</v>
      </c>
      <c r="K252" s="10" t="b">
        <f>FALSE()</f>
        <v>0</v>
      </c>
      <c r="L252" s="10"/>
      <c r="M252" s="10" t="s">
        <v>1187</v>
      </c>
      <c r="N252" s="10"/>
      <c r="O252" s="11" t="s">
        <v>1188</v>
      </c>
      <c r="P252" s="11"/>
      <c r="Q252" s="10"/>
    </row>
    <row r="253" ht="15" customHeight="1" spans="1:17" x14ac:dyDescent="0.25">
      <c r="A253" s="10" t="s">
        <v>1628</v>
      </c>
      <c r="B253" s="11" t="s">
        <v>1629</v>
      </c>
      <c r="C253" s="10" t="s">
        <v>241</v>
      </c>
      <c r="D253" s="10"/>
      <c r="E253" s="10"/>
      <c r="F253" s="10" t="s">
        <v>1184</v>
      </c>
      <c r="G253" s="10"/>
      <c r="H253" s="10" t="s">
        <v>1185</v>
      </c>
      <c r="I253" s="10" t="s">
        <v>1191</v>
      </c>
      <c r="J253" s="10">
        <v>1</v>
      </c>
      <c r="K253" s="10" t="b">
        <f>FALSE()</f>
        <v>0</v>
      </c>
      <c r="L253" s="10"/>
      <c r="M253" s="10" t="s">
        <v>1187</v>
      </c>
      <c r="N253" s="10"/>
      <c r="O253" s="11" t="s">
        <v>1188</v>
      </c>
      <c r="P253" s="11"/>
      <c r="Q253" s="10"/>
    </row>
    <row r="254" ht="15" customHeight="1" spans="1:17" x14ac:dyDescent="0.25">
      <c r="A254" s="10" t="s">
        <v>1630</v>
      </c>
      <c r="B254" s="11" t="s">
        <v>1631</v>
      </c>
      <c r="C254" s="10" t="s">
        <v>241</v>
      </c>
      <c r="D254" s="10"/>
      <c r="E254" s="10"/>
      <c r="F254" s="10" t="s">
        <v>1184</v>
      </c>
      <c r="G254" s="10"/>
      <c r="H254" s="10" t="s">
        <v>1185</v>
      </c>
      <c r="I254" s="10" t="s">
        <v>1186</v>
      </c>
      <c r="J254" s="10">
        <v>1</v>
      </c>
      <c r="K254" s="10" t="b">
        <f>FALSE()</f>
        <v>0</v>
      </c>
      <c r="L254" s="10"/>
      <c r="M254" s="10" t="s">
        <v>1187</v>
      </c>
      <c r="N254" s="10"/>
      <c r="O254" s="11" t="s">
        <v>1188</v>
      </c>
      <c r="P254" s="11"/>
      <c r="Q254" s="10"/>
    </row>
    <row r="255" ht="15" customHeight="1" spans="1:17" x14ac:dyDescent="0.25">
      <c r="A255" s="10" t="s">
        <v>1632</v>
      </c>
      <c r="B255" s="11" t="s">
        <v>1633</v>
      </c>
      <c r="C255" s="10" t="s">
        <v>241</v>
      </c>
      <c r="D255" s="10"/>
      <c r="E255" s="10"/>
      <c r="F255" s="10" t="s">
        <v>1184</v>
      </c>
      <c r="G255" s="10"/>
      <c r="H255" s="10" t="s">
        <v>1185</v>
      </c>
      <c r="I255" s="10" t="s">
        <v>1186</v>
      </c>
      <c r="J255" s="10">
        <v>1</v>
      </c>
      <c r="K255" s="10" t="b">
        <f>FALSE()</f>
        <v>0</v>
      </c>
      <c r="L255" s="10"/>
      <c r="M255" s="10" t="s">
        <v>1187</v>
      </c>
      <c r="N255" s="10"/>
      <c r="O255" s="11" t="s">
        <v>1188</v>
      </c>
      <c r="P255" s="11"/>
      <c r="Q255" s="10"/>
    </row>
    <row r="256" ht="15" customHeight="1" spans="1:17" x14ac:dyDescent="0.25">
      <c r="A256" s="10" t="s">
        <v>1634</v>
      </c>
      <c r="B256" s="11" t="s">
        <v>1635</v>
      </c>
      <c r="C256" s="10" t="s">
        <v>241</v>
      </c>
      <c r="D256" s="10"/>
      <c r="E256" s="10"/>
      <c r="F256" s="10" t="s">
        <v>1184</v>
      </c>
      <c r="G256" s="10"/>
      <c r="H256" s="10" t="s">
        <v>1185</v>
      </c>
      <c r="I256" s="10" t="s">
        <v>1186</v>
      </c>
      <c r="J256" s="10">
        <v>1</v>
      </c>
      <c r="K256" s="10" t="b">
        <f>FALSE()</f>
        <v>0</v>
      </c>
      <c r="L256" s="10"/>
      <c r="M256" s="10" t="s">
        <v>1187</v>
      </c>
      <c r="N256" s="10"/>
      <c r="O256" s="11" t="s">
        <v>1188</v>
      </c>
      <c r="P256" s="11"/>
      <c r="Q256" s="10"/>
    </row>
    <row r="257" ht="15" customHeight="1" spans="1:17" x14ac:dyDescent="0.25">
      <c r="A257" s="10" t="s">
        <v>1636</v>
      </c>
      <c r="B257" s="11" t="s">
        <v>1637</v>
      </c>
      <c r="C257" s="10" t="s">
        <v>241</v>
      </c>
      <c r="D257" s="10"/>
      <c r="E257" s="10"/>
      <c r="F257" s="10" t="s">
        <v>1184</v>
      </c>
      <c r="G257" s="10"/>
      <c r="H257" s="10" t="s">
        <v>1185</v>
      </c>
      <c r="I257" s="10" t="s">
        <v>1186</v>
      </c>
      <c r="J257" s="10">
        <v>1</v>
      </c>
      <c r="K257" s="10" t="b">
        <f>FALSE()</f>
        <v>0</v>
      </c>
      <c r="L257" s="10"/>
      <c r="M257" s="10" t="s">
        <v>1187</v>
      </c>
      <c r="N257" s="10"/>
      <c r="O257" s="11" t="s">
        <v>1188</v>
      </c>
      <c r="P257" s="11"/>
      <c r="Q257" s="10"/>
    </row>
    <row r="258" ht="15" customHeight="1" spans="1:17" x14ac:dyDescent="0.25">
      <c r="A258" s="10" t="s">
        <v>1638</v>
      </c>
      <c r="B258" s="11" t="s">
        <v>1639</v>
      </c>
      <c r="C258" s="10" t="s">
        <v>241</v>
      </c>
      <c r="D258" s="10"/>
      <c r="E258" s="10"/>
      <c r="F258" s="10" t="s">
        <v>1184</v>
      </c>
      <c r="G258" s="10"/>
      <c r="H258" s="10" t="s">
        <v>1185</v>
      </c>
      <c r="I258" s="10" t="s">
        <v>1186</v>
      </c>
      <c r="J258" s="10">
        <v>1</v>
      </c>
      <c r="K258" s="10" t="b">
        <f>FALSE()</f>
        <v>0</v>
      </c>
      <c r="L258" s="10"/>
      <c r="M258" s="10" t="s">
        <v>1187</v>
      </c>
      <c r="N258" s="10"/>
      <c r="O258" s="11" t="s">
        <v>1188</v>
      </c>
      <c r="P258" s="11"/>
      <c r="Q258" s="10"/>
    </row>
    <row r="259" ht="23.85" customHeight="1" spans="1:17" x14ac:dyDescent="0.25">
      <c r="A259" s="10" t="s">
        <v>1167</v>
      </c>
      <c r="B259" s="11" t="s">
        <v>1168</v>
      </c>
      <c r="C259" s="10" t="s">
        <v>241</v>
      </c>
      <c r="D259" s="10"/>
      <c r="E259" s="10"/>
      <c r="F259" s="10" t="s">
        <v>1184</v>
      </c>
      <c r="G259" s="10"/>
      <c r="H259" s="10" t="s">
        <v>1185</v>
      </c>
      <c r="I259" s="10" t="s">
        <v>132</v>
      </c>
      <c r="J259" s="10">
        <v>2</v>
      </c>
      <c r="K259" s="10" t="b">
        <f>FALSE()</f>
        <v>0</v>
      </c>
      <c r="L259" s="10" t="s">
        <v>120</v>
      </c>
      <c r="M259" s="10" t="s">
        <v>1165</v>
      </c>
      <c r="N259" s="10"/>
      <c r="O259" s="11" t="s">
        <v>1640</v>
      </c>
      <c r="P259" s="11" t="s">
        <v>1169</v>
      </c>
      <c r="Q259" s="10"/>
    </row>
    <row r="260" ht="15" customHeight="1" spans="1:17" x14ac:dyDescent="0.25">
      <c r="A260" s="10" t="s">
        <v>1641</v>
      </c>
      <c r="B260" s="11" t="s">
        <v>1642</v>
      </c>
      <c r="C260" s="10" t="s">
        <v>241</v>
      </c>
      <c r="D260" s="10"/>
      <c r="E260" s="10"/>
      <c r="F260" s="10" t="s">
        <v>1184</v>
      </c>
      <c r="G260" s="10"/>
      <c r="H260" s="10" t="s">
        <v>1185</v>
      </c>
      <c r="I260" s="10" t="s">
        <v>1191</v>
      </c>
      <c r="J260" s="10">
        <v>1</v>
      </c>
      <c r="K260" s="10" t="b">
        <f>FALSE()</f>
        <v>0</v>
      </c>
      <c r="L260" s="10"/>
      <c r="M260" s="10" t="s">
        <v>1187</v>
      </c>
      <c r="N260" s="10"/>
      <c r="O260" s="11" t="s">
        <v>1188</v>
      </c>
      <c r="P260" s="11"/>
      <c r="Q260" s="10"/>
    </row>
    <row r="261" ht="15" customHeight="1" spans="1:17" x14ac:dyDescent="0.25">
      <c r="A261" s="10" t="s">
        <v>1643</v>
      </c>
      <c r="B261" s="11" t="s">
        <v>1644</v>
      </c>
      <c r="C261" s="10" t="s">
        <v>241</v>
      </c>
      <c r="D261" s="10"/>
      <c r="E261" s="10"/>
      <c r="F261" s="10" t="s">
        <v>1184</v>
      </c>
      <c r="G261" s="10"/>
      <c r="H261" s="10" t="s">
        <v>1185</v>
      </c>
      <c r="I261" s="10" t="s">
        <v>1194</v>
      </c>
      <c r="J261" s="10">
        <v>1</v>
      </c>
      <c r="K261" s="10" t="b">
        <f>FALSE()</f>
        <v>0</v>
      </c>
      <c r="L261" s="10"/>
      <c r="M261" s="10" t="s">
        <v>1187</v>
      </c>
      <c r="N261" s="10"/>
      <c r="O261" s="11" t="s">
        <v>1188</v>
      </c>
      <c r="P261" s="11"/>
      <c r="Q261" s="10"/>
    </row>
    <row r="262" ht="15" customHeight="1" spans="1:17" x14ac:dyDescent="0.25">
      <c r="A262" s="10" t="s">
        <v>909</v>
      </c>
      <c r="B262" s="11" t="s">
        <v>910</v>
      </c>
      <c r="C262" s="10" t="s">
        <v>241</v>
      </c>
      <c r="D262" s="10"/>
      <c r="E262" s="10"/>
      <c r="F262" s="10" t="s">
        <v>1184</v>
      </c>
      <c r="G262" s="10" t="s">
        <v>214</v>
      </c>
      <c r="H262" s="10" t="s">
        <v>1185</v>
      </c>
      <c r="I262" s="10" t="s">
        <v>1186</v>
      </c>
      <c r="J262" s="10">
        <v>1</v>
      </c>
      <c r="K262" s="10" t="b">
        <f>FALSE()</f>
        <v>0</v>
      </c>
      <c r="L262" s="10"/>
      <c r="M262" s="10" t="s">
        <v>1187</v>
      </c>
      <c r="N262" s="10"/>
      <c r="O262" s="11" t="s">
        <v>1188</v>
      </c>
      <c r="P262" s="11"/>
      <c r="Q262" s="10"/>
    </row>
    <row r="263" ht="15" customHeight="1" spans="1:17" x14ac:dyDescent="0.25">
      <c r="A263" s="10" t="s">
        <v>1645</v>
      </c>
      <c r="B263" s="11" t="s">
        <v>1646</v>
      </c>
      <c r="C263" s="10" t="s">
        <v>241</v>
      </c>
      <c r="D263" s="10"/>
      <c r="E263" s="10"/>
      <c r="F263" s="10" t="s">
        <v>1184</v>
      </c>
      <c r="G263" s="10"/>
      <c r="H263" s="10" t="s">
        <v>1185</v>
      </c>
      <c r="I263" s="10" t="s">
        <v>1186</v>
      </c>
      <c r="J263" s="10">
        <v>1</v>
      </c>
      <c r="K263" s="10" t="b">
        <f>FALSE()</f>
        <v>0</v>
      </c>
      <c r="L263" s="10"/>
      <c r="M263" s="10" t="s">
        <v>1187</v>
      </c>
      <c r="N263" s="10"/>
      <c r="O263" s="11" t="s">
        <v>1188</v>
      </c>
      <c r="P263" s="11"/>
      <c r="Q263" s="10"/>
    </row>
    <row r="264" ht="15" customHeight="1" spans="1:17" x14ac:dyDescent="0.25">
      <c r="A264" s="10" t="s">
        <v>918</v>
      </c>
      <c r="B264" s="11" t="s">
        <v>919</v>
      </c>
      <c r="C264" s="10" t="s">
        <v>241</v>
      </c>
      <c r="D264" s="10"/>
      <c r="E264" s="10"/>
      <c r="F264" s="10" t="s">
        <v>1184</v>
      </c>
      <c r="G264" s="10" t="s">
        <v>156</v>
      </c>
      <c r="H264" s="10" t="s">
        <v>1185</v>
      </c>
      <c r="I264" s="10" t="s">
        <v>1186</v>
      </c>
      <c r="J264" s="10">
        <v>1</v>
      </c>
      <c r="K264" s="10" t="b">
        <f>FALSE()</f>
        <v>0</v>
      </c>
      <c r="L264" s="10"/>
      <c r="M264" s="10" t="s">
        <v>1187</v>
      </c>
      <c r="N264" s="10"/>
      <c r="O264" s="11" t="s">
        <v>1188</v>
      </c>
      <c r="P264" s="11"/>
      <c r="Q264" s="10"/>
    </row>
    <row r="265" ht="15" customHeight="1" spans="1:17" x14ac:dyDescent="0.25">
      <c r="A265" s="10" t="s">
        <v>1647</v>
      </c>
      <c r="B265" s="11" t="s">
        <v>1648</v>
      </c>
      <c r="C265" s="10" t="s">
        <v>241</v>
      </c>
      <c r="D265" s="10"/>
      <c r="E265" s="10"/>
      <c r="F265" s="10" t="s">
        <v>1184</v>
      </c>
      <c r="G265" s="10"/>
      <c r="H265" s="10" t="s">
        <v>1185</v>
      </c>
      <c r="I265" s="10" t="s">
        <v>1186</v>
      </c>
      <c r="J265" s="10">
        <v>1</v>
      </c>
      <c r="K265" s="10" t="b">
        <f>FALSE()</f>
        <v>0</v>
      </c>
      <c r="L265" s="10"/>
      <c r="M265" s="10" t="s">
        <v>1187</v>
      </c>
      <c r="N265" s="10"/>
      <c r="O265" s="11" t="s">
        <v>1188</v>
      </c>
      <c r="P265" s="11"/>
      <c r="Q265" s="10"/>
    </row>
    <row r="266" ht="15" customHeight="1" spans="1:17" x14ac:dyDescent="0.25">
      <c r="A266" s="10" t="s">
        <v>1649</v>
      </c>
      <c r="B266" s="11" t="s">
        <v>1650</v>
      </c>
      <c r="C266" s="10" t="s">
        <v>241</v>
      </c>
      <c r="D266" s="10"/>
      <c r="E266" s="10"/>
      <c r="F266" s="10" t="s">
        <v>1184</v>
      </c>
      <c r="G266" s="10"/>
      <c r="H266" s="10" t="s">
        <v>1185</v>
      </c>
      <c r="I266" s="10" t="s">
        <v>1186</v>
      </c>
      <c r="J266" s="10">
        <v>1</v>
      </c>
      <c r="K266" s="10" t="b">
        <f>FALSE()</f>
        <v>0</v>
      </c>
      <c r="L266" s="10"/>
      <c r="M266" s="10" t="s">
        <v>1187</v>
      </c>
      <c r="N266" s="10"/>
      <c r="O266" s="11" t="s">
        <v>1188</v>
      </c>
      <c r="P266" s="11"/>
      <c r="Q266" s="10"/>
    </row>
    <row r="267" ht="15" customHeight="1" spans="1:17" x14ac:dyDescent="0.25">
      <c r="A267" s="10" t="s">
        <v>1651</v>
      </c>
      <c r="B267" s="11" t="s">
        <v>1652</v>
      </c>
      <c r="C267" s="10" t="s">
        <v>241</v>
      </c>
      <c r="D267" s="10"/>
      <c r="E267" s="10"/>
      <c r="F267" s="10" t="s">
        <v>1184</v>
      </c>
      <c r="G267" s="10"/>
      <c r="H267" s="10" t="s">
        <v>1185</v>
      </c>
      <c r="I267" s="10" t="s">
        <v>1191</v>
      </c>
      <c r="J267" s="10">
        <v>1</v>
      </c>
      <c r="K267" s="10" t="b">
        <f>FALSE()</f>
        <v>0</v>
      </c>
      <c r="L267" s="10"/>
      <c r="M267" s="10" t="s">
        <v>1187</v>
      </c>
      <c r="N267" s="10"/>
      <c r="O267" s="11" t="s">
        <v>1188</v>
      </c>
      <c r="P267" s="11"/>
      <c r="Q267" s="10"/>
    </row>
    <row r="268" ht="15" customHeight="1" spans="1:17" x14ac:dyDescent="0.25">
      <c r="A268" s="10" t="s">
        <v>1653</v>
      </c>
      <c r="B268" s="11" t="s">
        <v>1654</v>
      </c>
      <c r="C268" s="10" t="s">
        <v>241</v>
      </c>
      <c r="D268" s="10"/>
      <c r="E268" s="10"/>
      <c r="F268" s="10" t="s">
        <v>1184</v>
      </c>
      <c r="G268" s="10"/>
      <c r="H268" s="10" t="s">
        <v>1185</v>
      </c>
      <c r="I268" s="10" t="s">
        <v>1191</v>
      </c>
      <c r="J268" s="10">
        <v>1</v>
      </c>
      <c r="K268" s="10" t="b">
        <f>FALSE()</f>
        <v>0</v>
      </c>
      <c r="L268" s="10"/>
      <c r="M268" s="10" t="s">
        <v>1187</v>
      </c>
      <c r="N268" s="10"/>
      <c r="O268" s="11" t="s">
        <v>1188</v>
      </c>
      <c r="P268" s="11"/>
      <c r="Q268" s="10"/>
    </row>
    <row r="269" ht="15" customHeight="1" spans="1:17" x14ac:dyDescent="0.25">
      <c r="A269" s="10" t="s">
        <v>922</v>
      </c>
      <c r="B269" s="11" t="s">
        <v>923</v>
      </c>
      <c r="C269" s="10" t="s">
        <v>241</v>
      </c>
      <c r="D269" s="10"/>
      <c r="E269" s="10"/>
      <c r="F269" s="10" t="s">
        <v>1184</v>
      </c>
      <c r="G269" s="10" t="s">
        <v>148</v>
      </c>
      <c r="H269" s="10" t="s">
        <v>1185</v>
      </c>
      <c r="I269" s="10" t="s">
        <v>1191</v>
      </c>
      <c r="J269" s="10">
        <v>1</v>
      </c>
      <c r="K269" s="10" t="b">
        <f>FALSE()</f>
        <v>0</v>
      </c>
      <c r="L269" s="10"/>
      <c r="M269" s="10" t="s">
        <v>1187</v>
      </c>
      <c r="N269" s="10"/>
      <c r="O269" s="11" t="s">
        <v>1188</v>
      </c>
      <c r="P269" s="11"/>
      <c r="Q269" s="10"/>
    </row>
    <row r="270" ht="15" customHeight="1" spans="1:17" x14ac:dyDescent="0.25">
      <c r="A270" s="10" t="s">
        <v>1655</v>
      </c>
      <c r="B270" s="11" t="s">
        <v>1656</v>
      </c>
      <c r="C270" s="10" t="s">
        <v>241</v>
      </c>
      <c r="D270" s="10"/>
      <c r="E270" s="10"/>
      <c r="F270" s="10" t="s">
        <v>1184</v>
      </c>
      <c r="G270" s="10"/>
      <c r="H270" s="10" t="s">
        <v>1185</v>
      </c>
      <c r="I270" s="10" t="s">
        <v>1191</v>
      </c>
      <c r="J270" s="10">
        <v>1</v>
      </c>
      <c r="K270" s="10" t="b">
        <f>FALSE()</f>
        <v>0</v>
      </c>
      <c r="L270" s="10"/>
      <c r="M270" s="10" t="s">
        <v>1187</v>
      </c>
      <c r="N270" s="10"/>
      <c r="O270" s="11" t="s">
        <v>1188</v>
      </c>
      <c r="P270" s="11"/>
      <c r="Q270" s="10"/>
    </row>
    <row r="271" ht="15" customHeight="1" spans="1:17" x14ac:dyDescent="0.25">
      <c r="A271" s="10" t="s">
        <v>1657</v>
      </c>
      <c r="B271" s="11" t="s">
        <v>1658</v>
      </c>
      <c r="C271" s="10" t="s">
        <v>241</v>
      </c>
      <c r="D271" s="10"/>
      <c r="E271" s="10"/>
      <c r="F271" s="10" t="s">
        <v>1184</v>
      </c>
      <c r="G271" s="10"/>
      <c r="H271" s="10" t="s">
        <v>1185</v>
      </c>
      <c r="I271" s="10" t="s">
        <v>121</v>
      </c>
      <c r="J271" s="10">
        <v>2</v>
      </c>
      <c r="K271" s="10" t="b">
        <f>FALSE()</f>
        <v>0</v>
      </c>
      <c r="L271" s="10"/>
      <c r="M271" s="10" t="s">
        <v>1296</v>
      </c>
      <c r="N271" s="10"/>
      <c r="O271" s="11" t="s">
        <v>1297</v>
      </c>
      <c r="P271" s="11"/>
      <c r="Q271" s="10"/>
    </row>
    <row r="272" ht="15" customHeight="1" spans="1:17" x14ac:dyDescent="0.25">
      <c r="A272" s="10" t="s">
        <v>1659</v>
      </c>
      <c r="B272" s="11" t="s">
        <v>1660</v>
      </c>
      <c r="C272" s="10" t="s">
        <v>241</v>
      </c>
      <c r="D272" s="10"/>
      <c r="E272" s="10"/>
      <c r="F272" s="10" t="s">
        <v>1184</v>
      </c>
      <c r="G272" s="10"/>
      <c r="H272" s="10" t="s">
        <v>1185</v>
      </c>
      <c r="I272" s="10" t="s">
        <v>1186</v>
      </c>
      <c r="J272" s="10">
        <v>1</v>
      </c>
      <c r="K272" s="10" t="b">
        <f>FALSE()</f>
        <v>0</v>
      </c>
      <c r="L272" s="10"/>
      <c r="M272" s="10" t="s">
        <v>1187</v>
      </c>
      <c r="N272" s="10"/>
      <c r="O272" s="11" t="s">
        <v>1188</v>
      </c>
      <c r="P272" s="11"/>
      <c r="Q272" s="10"/>
    </row>
    <row r="273" ht="15" customHeight="1" spans="1:17" x14ac:dyDescent="0.25">
      <c r="A273" s="10" t="s">
        <v>1661</v>
      </c>
      <c r="B273" s="11" t="s">
        <v>1662</v>
      </c>
      <c r="C273" s="10" t="s">
        <v>241</v>
      </c>
      <c r="D273" s="10"/>
      <c r="E273" s="10"/>
      <c r="F273" s="10" t="s">
        <v>1184</v>
      </c>
      <c r="G273" s="10"/>
      <c r="H273" s="10" t="s">
        <v>1185</v>
      </c>
      <c r="I273" s="10" t="s">
        <v>1186</v>
      </c>
      <c r="J273" s="10">
        <v>1</v>
      </c>
      <c r="K273" s="10" t="b">
        <f>FALSE()</f>
        <v>0</v>
      </c>
      <c r="L273" s="10"/>
      <c r="M273" s="10" t="s">
        <v>1187</v>
      </c>
      <c r="N273" s="10"/>
      <c r="O273" s="11" t="s">
        <v>1188</v>
      </c>
      <c r="P273" s="11"/>
      <c r="Q273" s="10"/>
    </row>
    <row r="274" ht="15" customHeight="1" spans="1:17" x14ac:dyDescent="0.25">
      <c r="A274" s="10" t="s">
        <v>1663</v>
      </c>
      <c r="B274" s="11" t="s">
        <v>1664</v>
      </c>
      <c r="C274" s="10" t="s">
        <v>241</v>
      </c>
      <c r="D274" s="10"/>
      <c r="E274" s="10"/>
      <c r="F274" s="10" t="s">
        <v>1184</v>
      </c>
      <c r="G274" s="10"/>
      <c r="H274" s="10" t="s">
        <v>1185</v>
      </c>
      <c r="I274" s="10" t="s">
        <v>1186</v>
      </c>
      <c r="J274" s="10">
        <v>1</v>
      </c>
      <c r="K274" s="10" t="b">
        <f>FALSE()</f>
        <v>0</v>
      </c>
      <c r="L274" s="10"/>
      <c r="M274" s="10" t="s">
        <v>1187</v>
      </c>
      <c r="N274" s="10"/>
      <c r="O274" s="11" t="s">
        <v>1188</v>
      </c>
      <c r="P274" s="11"/>
      <c r="Q274" s="10"/>
    </row>
    <row r="275" ht="15" customHeight="1" spans="1:17" x14ac:dyDescent="0.25">
      <c r="A275" s="10" t="s">
        <v>1665</v>
      </c>
      <c r="B275" s="11" t="s">
        <v>1666</v>
      </c>
      <c r="C275" s="10" t="s">
        <v>241</v>
      </c>
      <c r="D275" s="10"/>
      <c r="E275" s="10"/>
      <c r="F275" s="10" t="s">
        <v>1184</v>
      </c>
      <c r="G275" s="10"/>
      <c r="H275" s="10" t="s">
        <v>1185</v>
      </c>
      <c r="I275" s="10" t="s">
        <v>1186</v>
      </c>
      <c r="J275" s="10">
        <v>1</v>
      </c>
      <c r="K275" s="10" t="b">
        <f>FALSE()</f>
        <v>0</v>
      </c>
      <c r="L275" s="10"/>
      <c r="M275" s="10" t="s">
        <v>1187</v>
      </c>
      <c r="N275" s="10"/>
      <c r="O275" s="11" t="s">
        <v>1188</v>
      </c>
      <c r="P275" s="11"/>
      <c r="Q275" s="10"/>
    </row>
    <row r="276" ht="15" customHeight="1" spans="1:17" x14ac:dyDescent="0.25">
      <c r="A276" s="10" t="s">
        <v>1667</v>
      </c>
      <c r="B276" s="11" t="s">
        <v>1668</v>
      </c>
      <c r="C276" s="10" t="s">
        <v>150</v>
      </c>
      <c r="D276" s="10"/>
      <c r="E276" s="10"/>
      <c r="F276" s="10" t="s">
        <v>1184</v>
      </c>
      <c r="G276" s="10"/>
      <c r="H276" s="10" t="s">
        <v>1185</v>
      </c>
      <c r="I276" s="10" t="s">
        <v>1186</v>
      </c>
      <c r="J276" s="10">
        <v>1</v>
      </c>
      <c r="K276" s="10" t="b">
        <f>FALSE()</f>
        <v>0</v>
      </c>
      <c r="L276" s="10"/>
      <c r="M276" s="10" t="s">
        <v>1187</v>
      </c>
      <c r="N276" s="10"/>
      <c r="O276" s="11" t="s">
        <v>1188</v>
      </c>
      <c r="P276" s="11"/>
      <c r="Q276" s="10"/>
    </row>
    <row r="277" ht="15" customHeight="1" spans="1:17" x14ac:dyDescent="0.25">
      <c r="A277" s="10" t="s">
        <v>1669</v>
      </c>
      <c r="B277" s="11" t="s">
        <v>1670</v>
      </c>
      <c r="C277" s="10" t="s">
        <v>241</v>
      </c>
      <c r="D277" s="10"/>
      <c r="E277" s="10"/>
      <c r="F277" s="10" t="s">
        <v>1184</v>
      </c>
      <c r="G277" s="10"/>
      <c r="H277" s="10" t="s">
        <v>1185</v>
      </c>
      <c r="I277" s="10" t="s">
        <v>1191</v>
      </c>
      <c r="J277" s="10">
        <v>1</v>
      </c>
      <c r="K277" s="10" t="b">
        <f>FALSE()</f>
        <v>0</v>
      </c>
      <c r="L277" s="10"/>
      <c r="M277" s="10" t="s">
        <v>1187</v>
      </c>
      <c r="N277" s="10"/>
      <c r="O277" s="11" t="s">
        <v>1188</v>
      </c>
      <c r="P277" s="11"/>
      <c r="Q277" s="10"/>
    </row>
    <row r="278" ht="15" customHeight="1" spans="1:17" x14ac:dyDescent="0.25">
      <c r="A278" s="10" t="s">
        <v>1671</v>
      </c>
      <c r="B278" s="11" t="s">
        <v>1672</v>
      </c>
      <c r="C278" s="10" t="s">
        <v>241</v>
      </c>
      <c r="D278" s="10"/>
      <c r="E278" s="10"/>
      <c r="F278" s="10" t="s">
        <v>1184</v>
      </c>
      <c r="G278" s="10"/>
      <c r="H278" s="10" t="s">
        <v>1185</v>
      </c>
      <c r="I278" s="10" t="s">
        <v>1191</v>
      </c>
      <c r="J278" s="10">
        <v>1</v>
      </c>
      <c r="K278" s="10" t="b">
        <f>FALSE()</f>
        <v>0</v>
      </c>
      <c r="L278" s="10"/>
      <c r="M278" s="10" t="s">
        <v>1187</v>
      </c>
      <c r="N278" s="10"/>
      <c r="O278" s="11" t="s">
        <v>1188</v>
      </c>
      <c r="P278" s="11"/>
      <c r="Q278" s="10"/>
    </row>
    <row r="279" ht="15" customHeight="1" spans="1:17" x14ac:dyDescent="0.25">
      <c r="A279" s="10" t="s">
        <v>1673</v>
      </c>
      <c r="B279" s="11" t="s">
        <v>1674</v>
      </c>
      <c r="C279" s="10" t="s">
        <v>241</v>
      </c>
      <c r="D279" s="10"/>
      <c r="E279" s="10"/>
      <c r="F279" s="10" t="s">
        <v>1184</v>
      </c>
      <c r="G279" s="10"/>
      <c r="H279" s="10" t="s">
        <v>1185</v>
      </c>
      <c r="I279" s="10" t="s">
        <v>1191</v>
      </c>
      <c r="J279" s="10">
        <v>1</v>
      </c>
      <c r="K279" s="10" t="b">
        <f>FALSE()</f>
        <v>0</v>
      </c>
      <c r="L279" s="10"/>
      <c r="M279" s="10" t="s">
        <v>1187</v>
      </c>
      <c r="N279" s="10"/>
      <c r="O279" s="11" t="s">
        <v>1188</v>
      </c>
      <c r="P279" s="11"/>
      <c r="Q279" s="10"/>
    </row>
    <row r="280" ht="15" customHeight="1" spans="1:17" x14ac:dyDescent="0.25">
      <c r="A280" s="10" t="s">
        <v>1675</v>
      </c>
      <c r="B280" s="11" t="s">
        <v>1676</v>
      </c>
      <c r="C280" s="10" t="s">
        <v>241</v>
      </c>
      <c r="D280" s="10"/>
      <c r="E280" s="10"/>
      <c r="F280" s="10" t="s">
        <v>1184</v>
      </c>
      <c r="G280" s="10"/>
      <c r="H280" s="10" t="s">
        <v>1185</v>
      </c>
      <c r="I280" s="10" t="s">
        <v>1186</v>
      </c>
      <c r="J280" s="10">
        <v>1</v>
      </c>
      <c r="K280" s="10" t="b">
        <f>FALSE()</f>
        <v>0</v>
      </c>
      <c r="L280" s="10"/>
      <c r="M280" s="10" t="s">
        <v>1187</v>
      </c>
      <c r="N280" s="10"/>
      <c r="O280" s="11" t="s">
        <v>1188</v>
      </c>
      <c r="P280" s="11"/>
      <c r="Q280" s="10"/>
    </row>
    <row r="281" ht="15" customHeight="1" spans="1:17" x14ac:dyDescent="0.25">
      <c r="A281" s="10" t="s">
        <v>1677</v>
      </c>
      <c r="B281" s="11" t="s">
        <v>1678</v>
      </c>
      <c r="C281" s="10" t="s">
        <v>241</v>
      </c>
      <c r="D281" s="10"/>
      <c r="E281" s="10"/>
      <c r="F281" s="10" t="s">
        <v>1184</v>
      </c>
      <c r="G281" s="10"/>
      <c r="H281" s="10" t="s">
        <v>1185</v>
      </c>
      <c r="I281" s="10" t="s">
        <v>1186</v>
      </c>
      <c r="J281" s="10">
        <v>1</v>
      </c>
      <c r="K281" s="10" t="b">
        <f>FALSE()</f>
        <v>0</v>
      </c>
      <c r="L281" s="10"/>
      <c r="M281" s="10" t="s">
        <v>1187</v>
      </c>
      <c r="N281" s="10"/>
      <c r="O281" s="11" t="s">
        <v>1188</v>
      </c>
      <c r="P281" s="11"/>
      <c r="Q281" s="10"/>
    </row>
    <row r="282" ht="15" customHeight="1" spans="1:17" x14ac:dyDescent="0.25">
      <c r="A282" s="10" t="s">
        <v>1679</v>
      </c>
      <c r="B282" s="11" t="s">
        <v>1680</v>
      </c>
      <c r="C282" s="10" t="s">
        <v>241</v>
      </c>
      <c r="D282" s="10"/>
      <c r="E282" s="10"/>
      <c r="F282" s="10" t="s">
        <v>1184</v>
      </c>
      <c r="G282" s="10"/>
      <c r="H282" s="10" t="s">
        <v>1185</v>
      </c>
      <c r="I282" s="10" t="s">
        <v>1191</v>
      </c>
      <c r="J282" s="10">
        <v>1</v>
      </c>
      <c r="K282" s="10" t="b">
        <f>FALSE()</f>
        <v>0</v>
      </c>
      <c r="L282" s="10"/>
      <c r="M282" s="10" t="s">
        <v>1187</v>
      </c>
      <c r="N282" s="10"/>
      <c r="O282" s="11" t="s">
        <v>1188</v>
      </c>
      <c r="P282" s="11"/>
      <c r="Q282" s="10"/>
    </row>
    <row r="283" ht="15" customHeight="1" spans="1:17" x14ac:dyDescent="0.25">
      <c r="A283" s="10" t="s">
        <v>1681</v>
      </c>
      <c r="B283" s="11" t="s">
        <v>1682</v>
      </c>
      <c r="C283" s="10" t="s">
        <v>241</v>
      </c>
      <c r="D283" s="10"/>
      <c r="E283" s="10"/>
      <c r="F283" s="10" t="s">
        <v>1184</v>
      </c>
      <c r="G283" s="10"/>
      <c r="H283" s="10" t="s">
        <v>1185</v>
      </c>
      <c r="I283" s="10" t="s">
        <v>1186</v>
      </c>
      <c r="J283" s="10">
        <v>1</v>
      </c>
      <c r="K283" s="10" t="b">
        <f>FALSE()</f>
        <v>0</v>
      </c>
      <c r="L283" s="10"/>
      <c r="M283" s="10" t="s">
        <v>1187</v>
      </c>
      <c r="N283" s="10"/>
      <c r="O283" s="11" t="s">
        <v>1188</v>
      </c>
      <c r="P283" s="11"/>
      <c r="Q283" s="10"/>
    </row>
    <row r="284" ht="15" customHeight="1" spans="1:17" x14ac:dyDescent="0.25">
      <c r="A284" s="10" t="s">
        <v>1683</v>
      </c>
      <c r="B284" s="11" t="s">
        <v>1684</v>
      </c>
      <c r="C284" s="10" t="s">
        <v>241</v>
      </c>
      <c r="D284" s="10"/>
      <c r="E284" s="10"/>
      <c r="F284" s="10" t="s">
        <v>1184</v>
      </c>
      <c r="G284" s="10"/>
      <c r="H284" s="10" t="s">
        <v>1185</v>
      </c>
      <c r="I284" s="10" t="s">
        <v>1186</v>
      </c>
      <c r="J284" s="10">
        <v>1</v>
      </c>
      <c r="K284" s="10" t="b">
        <f>FALSE()</f>
        <v>0</v>
      </c>
      <c r="L284" s="10"/>
      <c r="M284" s="10" t="s">
        <v>1187</v>
      </c>
      <c r="N284" s="10"/>
      <c r="O284" s="11" t="s">
        <v>1188</v>
      </c>
      <c r="P284" s="11"/>
      <c r="Q284" s="10"/>
    </row>
    <row r="285" ht="15" customHeight="1" spans="1:17" x14ac:dyDescent="0.25">
      <c r="A285" s="10" t="s">
        <v>1685</v>
      </c>
      <c r="B285" s="11" t="s">
        <v>1686</v>
      </c>
      <c r="C285" s="10" t="s">
        <v>241</v>
      </c>
      <c r="D285" s="10"/>
      <c r="E285" s="10"/>
      <c r="F285" s="10" t="s">
        <v>1184</v>
      </c>
      <c r="G285" s="10"/>
      <c r="H285" s="10" t="s">
        <v>1185</v>
      </c>
      <c r="I285" s="10" t="s">
        <v>1186</v>
      </c>
      <c r="J285" s="10">
        <v>1</v>
      </c>
      <c r="K285" s="10" t="b">
        <f>FALSE()</f>
        <v>0</v>
      </c>
      <c r="L285" s="10"/>
      <c r="M285" s="10" t="s">
        <v>1187</v>
      </c>
      <c r="N285" s="10"/>
      <c r="O285" s="11" t="s">
        <v>1188</v>
      </c>
      <c r="P285" s="11"/>
      <c r="Q285" s="10"/>
    </row>
    <row r="286" ht="15" customHeight="1" spans="1:17" x14ac:dyDescent="0.25">
      <c r="A286" s="10" t="s">
        <v>1687</v>
      </c>
      <c r="B286" s="11" t="s">
        <v>1688</v>
      </c>
      <c r="C286" s="10" t="s">
        <v>241</v>
      </c>
      <c r="D286" s="10"/>
      <c r="E286" s="10"/>
      <c r="F286" s="10" t="s">
        <v>1184</v>
      </c>
      <c r="G286" s="10"/>
      <c r="H286" s="10" t="s">
        <v>1185</v>
      </c>
      <c r="I286" s="10" t="s">
        <v>1186</v>
      </c>
      <c r="J286" s="10">
        <v>1</v>
      </c>
      <c r="K286" s="10" t="b">
        <f>FALSE()</f>
        <v>0</v>
      </c>
      <c r="L286" s="10"/>
      <c r="M286" s="10" t="s">
        <v>1187</v>
      </c>
      <c r="N286" s="10"/>
      <c r="O286" s="11" t="s">
        <v>1188</v>
      </c>
      <c r="P286" s="11"/>
      <c r="Q286" s="10"/>
    </row>
    <row r="287" ht="15" customHeight="1" spans="1:17" x14ac:dyDescent="0.25">
      <c r="A287" s="10" t="s">
        <v>1689</v>
      </c>
      <c r="B287" s="11" t="s">
        <v>1690</v>
      </c>
      <c r="C287" s="10" t="s">
        <v>241</v>
      </c>
      <c r="D287" s="10"/>
      <c r="E287" s="10"/>
      <c r="F287" s="10" t="s">
        <v>1184</v>
      </c>
      <c r="G287" s="10"/>
      <c r="H287" s="10" t="s">
        <v>1185</v>
      </c>
      <c r="I287" s="10" t="s">
        <v>1186</v>
      </c>
      <c r="J287" s="10">
        <v>1</v>
      </c>
      <c r="K287" s="10" t="b">
        <f>FALSE()</f>
        <v>0</v>
      </c>
      <c r="L287" s="10"/>
      <c r="M287" s="10" t="s">
        <v>1187</v>
      </c>
      <c r="N287" s="10"/>
      <c r="O287" s="11" t="s">
        <v>1188</v>
      </c>
      <c r="P287" s="11"/>
      <c r="Q287" s="10"/>
    </row>
    <row r="288" ht="15" customHeight="1" spans="1:17" x14ac:dyDescent="0.25">
      <c r="A288" s="10" t="s">
        <v>1691</v>
      </c>
      <c r="B288" s="11" t="s">
        <v>1692</v>
      </c>
      <c r="C288" s="10" t="s">
        <v>241</v>
      </c>
      <c r="D288" s="10"/>
      <c r="E288" s="10"/>
      <c r="F288" s="10" t="s">
        <v>1184</v>
      </c>
      <c r="G288" s="10"/>
      <c r="H288" s="10" t="s">
        <v>1185</v>
      </c>
      <c r="I288" s="10" t="s">
        <v>1186</v>
      </c>
      <c r="J288" s="10">
        <v>1</v>
      </c>
      <c r="K288" s="10" t="b">
        <f>FALSE()</f>
        <v>0</v>
      </c>
      <c r="L288" s="10"/>
      <c r="M288" s="10" t="s">
        <v>1187</v>
      </c>
      <c r="N288" s="10"/>
      <c r="O288" s="11" t="s">
        <v>1188</v>
      </c>
      <c r="P288" s="11"/>
      <c r="Q288" s="10"/>
    </row>
    <row r="289" ht="15" customHeight="1" spans="1:17" x14ac:dyDescent="0.25">
      <c r="A289" s="10" t="s">
        <v>1693</v>
      </c>
      <c r="B289" s="11" t="s">
        <v>1694</v>
      </c>
      <c r="C289" s="10" t="s">
        <v>241</v>
      </c>
      <c r="D289" s="10"/>
      <c r="E289" s="10"/>
      <c r="F289" s="10" t="s">
        <v>1184</v>
      </c>
      <c r="G289" s="10"/>
      <c r="H289" s="10" t="s">
        <v>1185</v>
      </c>
      <c r="I289" s="10" t="s">
        <v>1186</v>
      </c>
      <c r="J289" s="10">
        <v>1</v>
      </c>
      <c r="K289" s="10" t="b">
        <f>FALSE()</f>
        <v>0</v>
      </c>
      <c r="L289" s="10"/>
      <c r="M289" s="10" t="s">
        <v>1187</v>
      </c>
      <c r="N289" s="10"/>
      <c r="O289" s="11" t="s">
        <v>1188</v>
      </c>
      <c r="P289" s="11"/>
      <c r="Q289" s="10"/>
    </row>
    <row r="290" ht="15" customHeight="1" spans="1:17" x14ac:dyDescent="0.25">
      <c r="A290" s="10" t="s">
        <v>1695</v>
      </c>
      <c r="B290" s="11" t="s">
        <v>1696</v>
      </c>
      <c r="C290" s="10" t="s">
        <v>241</v>
      </c>
      <c r="D290" s="10"/>
      <c r="E290" s="10"/>
      <c r="F290" s="10" t="s">
        <v>1184</v>
      </c>
      <c r="G290" s="10"/>
      <c r="H290" s="10" t="s">
        <v>1185</v>
      </c>
      <c r="I290" s="10" t="s">
        <v>121</v>
      </c>
      <c r="J290" s="10">
        <v>2</v>
      </c>
      <c r="K290" s="10" t="b">
        <f>FALSE()</f>
        <v>0</v>
      </c>
      <c r="L290" s="10"/>
      <c r="M290" s="10" t="s">
        <v>1296</v>
      </c>
      <c r="N290" s="10"/>
      <c r="O290" s="11" t="s">
        <v>1297</v>
      </c>
      <c r="P290" s="11"/>
      <c r="Q290" s="10"/>
    </row>
    <row r="291" ht="15" customHeight="1" spans="1:17" x14ac:dyDescent="0.25">
      <c r="A291" s="10" t="s">
        <v>1697</v>
      </c>
      <c r="B291" s="11" t="s">
        <v>1698</v>
      </c>
      <c r="C291" s="10" t="s">
        <v>241</v>
      </c>
      <c r="D291" s="10"/>
      <c r="E291" s="10"/>
      <c r="F291" s="10" t="s">
        <v>1184</v>
      </c>
      <c r="G291" s="10"/>
      <c r="H291" s="10" t="s">
        <v>1185</v>
      </c>
      <c r="I291" s="10" t="s">
        <v>112</v>
      </c>
      <c r="J291" s="10">
        <v>3</v>
      </c>
      <c r="K291" s="10" t="b">
        <f>FALSE()</f>
        <v>0</v>
      </c>
      <c r="L291" s="10"/>
      <c r="M291" s="10" t="s">
        <v>1349</v>
      </c>
      <c r="N291" s="10"/>
      <c r="O291" s="11" t="s">
        <v>1350</v>
      </c>
      <c r="P291" s="11"/>
      <c r="Q291" s="10"/>
    </row>
    <row r="292" ht="15" customHeight="1" spans="1:17" x14ac:dyDescent="0.25">
      <c r="A292" s="10" t="s">
        <v>1699</v>
      </c>
      <c r="B292" s="11" t="s">
        <v>1700</v>
      </c>
      <c r="C292" s="10" t="s">
        <v>241</v>
      </c>
      <c r="D292" s="10"/>
      <c r="E292" s="10"/>
      <c r="F292" s="10" t="s">
        <v>1184</v>
      </c>
      <c r="G292" s="10"/>
      <c r="H292" s="10" t="s">
        <v>1185</v>
      </c>
      <c r="I292" s="10" t="s">
        <v>1186</v>
      </c>
      <c r="J292" s="10">
        <v>1</v>
      </c>
      <c r="K292" s="10" t="b">
        <f>FALSE()</f>
        <v>0</v>
      </c>
      <c r="L292" s="10"/>
      <c r="M292" s="10" t="s">
        <v>1187</v>
      </c>
      <c r="N292" s="10"/>
      <c r="O292" s="11" t="s">
        <v>1188</v>
      </c>
      <c r="P292" s="11"/>
      <c r="Q292" s="10"/>
    </row>
    <row r="293" ht="15" customHeight="1" spans="1:17" x14ac:dyDescent="0.25">
      <c r="A293" s="10" t="s">
        <v>1701</v>
      </c>
      <c r="B293" s="11" t="s">
        <v>1702</v>
      </c>
      <c r="C293" s="10" t="s">
        <v>241</v>
      </c>
      <c r="D293" s="10"/>
      <c r="E293" s="10"/>
      <c r="F293" s="10" t="s">
        <v>1184</v>
      </c>
      <c r="G293" s="10"/>
      <c r="H293" s="10" t="s">
        <v>1185</v>
      </c>
      <c r="I293" s="10" t="s">
        <v>1186</v>
      </c>
      <c r="J293" s="10">
        <v>1</v>
      </c>
      <c r="K293" s="10" t="b">
        <f>FALSE()</f>
        <v>0</v>
      </c>
      <c r="L293" s="10"/>
      <c r="M293" s="10" t="s">
        <v>1187</v>
      </c>
      <c r="N293" s="10"/>
      <c r="O293" s="11" t="s">
        <v>1188</v>
      </c>
      <c r="P293" s="11"/>
      <c r="Q293" s="10"/>
    </row>
    <row r="294" ht="15" customHeight="1" spans="1:17" x14ac:dyDescent="0.25">
      <c r="A294" s="10" t="s">
        <v>1703</v>
      </c>
      <c r="B294" s="11" t="s">
        <v>1704</v>
      </c>
      <c r="C294" s="10" t="s">
        <v>241</v>
      </c>
      <c r="D294" s="10"/>
      <c r="E294" s="10"/>
      <c r="F294" s="10" t="s">
        <v>1184</v>
      </c>
      <c r="G294" s="10"/>
      <c r="H294" s="10" t="s">
        <v>1185</v>
      </c>
      <c r="I294" s="10" t="s">
        <v>1186</v>
      </c>
      <c r="J294" s="10">
        <v>1</v>
      </c>
      <c r="K294" s="10" t="b">
        <f>FALSE()</f>
        <v>0</v>
      </c>
      <c r="L294" s="10"/>
      <c r="M294" s="10" t="s">
        <v>1187</v>
      </c>
      <c r="N294" s="10"/>
      <c r="O294" s="11" t="s">
        <v>1188</v>
      </c>
      <c r="P294" s="11"/>
      <c r="Q294" s="10"/>
    </row>
    <row r="295" ht="15" customHeight="1" spans="1:17" x14ac:dyDescent="0.25">
      <c r="A295" s="10" t="s">
        <v>1705</v>
      </c>
      <c r="B295" s="11" t="s">
        <v>1706</v>
      </c>
      <c r="C295" s="10" t="s">
        <v>241</v>
      </c>
      <c r="D295" s="10"/>
      <c r="E295" s="10"/>
      <c r="F295" s="10" t="s">
        <v>1184</v>
      </c>
      <c r="G295" s="10"/>
      <c r="H295" s="10" t="s">
        <v>1185</v>
      </c>
      <c r="I295" s="10" t="s">
        <v>1186</v>
      </c>
      <c r="J295" s="10">
        <v>1</v>
      </c>
      <c r="K295" s="10" t="b">
        <f>FALSE()</f>
        <v>0</v>
      </c>
      <c r="L295" s="10"/>
      <c r="M295" s="10" t="s">
        <v>1187</v>
      </c>
      <c r="N295" s="10"/>
      <c r="O295" s="11" t="s">
        <v>1188</v>
      </c>
      <c r="P295" s="11"/>
      <c r="Q295" s="10"/>
    </row>
    <row r="296" ht="15" customHeight="1" spans="1:17" x14ac:dyDescent="0.25">
      <c r="A296" s="10" t="s">
        <v>1707</v>
      </c>
      <c r="B296" s="11" t="s">
        <v>1708</v>
      </c>
      <c r="C296" s="10" t="s">
        <v>241</v>
      </c>
      <c r="D296" s="10"/>
      <c r="E296" s="10"/>
      <c r="F296" s="10" t="s">
        <v>1184</v>
      </c>
      <c r="G296" s="10"/>
      <c r="H296" s="10" t="s">
        <v>1185</v>
      </c>
      <c r="I296" s="10" t="s">
        <v>1186</v>
      </c>
      <c r="J296" s="10">
        <v>1</v>
      </c>
      <c r="K296" s="10" t="b">
        <f>FALSE()</f>
        <v>0</v>
      </c>
      <c r="L296" s="10"/>
      <c r="M296" s="10" t="s">
        <v>1187</v>
      </c>
      <c r="N296" s="10"/>
      <c r="O296" s="11" t="s">
        <v>1188</v>
      </c>
      <c r="P296" s="11"/>
      <c r="Q296" s="10"/>
    </row>
    <row r="297" ht="15" customHeight="1" spans="1:17" x14ac:dyDescent="0.25">
      <c r="A297" s="10" t="s">
        <v>1709</v>
      </c>
      <c r="B297" s="11" t="s">
        <v>1710</v>
      </c>
      <c r="C297" s="10" t="s">
        <v>241</v>
      </c>
      <c r="D297" s="10"/>
      <c r="E297" s="10"/>
      <c r="F297" s="10" t="s">
        <v>1184</v>
      </c>
      <c r="G297" s="10"/>
      <c r="H297" s="10" t="s">
        <v>1185</v>
      </c>
      <c r="I297" s="10" t="s">
        <v>1186</v>
      </c>
      <c r="J297" s="10">
        <v>1</v>
      </c>
      <c r="K297" s="10" t="b">
        <f>FALSE()</f>
        <v>0</v>
      </c>
      <c r="L297" s="10"/>
      <c r="M297" s="10" t="s">
        <v>1187</v>
      </c>
      <c r="N297" s="10"/>
      <c r="O297" s="11" t="s">
        <v>1188</v>
      </c>
      <c r="P297" s="11"/>
      <c r="Q297" s="10"/>
    </row>
    <row r="298" ht="15" customHeight="1" spans="1:17" x14ac:dyDescent="0.25">
      <c r="A298" s="10" t="s">
        <v>1711</v>
      </c>
      <c r="B298" s="11" t="s">
        <v>1712</v>
      </c>
      <c r="C298" s="10" t="s">
        <v>241</v>
      </c>
      <c r="D298" s="10"/>
      <c r="E298" s="10"/>
      <c r="F298" s="10" t="s">
        <v>1184</v>
      </c>
      <c r="G298" s="10"/>
      <c r="H298" s="10" t="s">
        <v>1185</v>
      </c>
      <c r="I298" s="10" t="s">
        <v>1186</v>
      </c>
      <c r="J298" s="10">
        <v>1</v>
      </c>
      <c r="K298" s="10" t="b">
        <f>FALSE()</f>
        <v>0</v>
      </c>
      <c r="L298" s="10"/>
      <c r="M298" s="10" t="s">
        <v>1187</v>
      </c>
      <c r="N298" s="10"/>
      <c r="O298" s="11" t="s">
        <v>1188</v>
      </c>
      <c r="P298" s="11"/>
      <c r="Q298" s="10"/>
    </row>
    <row r="299" ht="15" customHeight="1" spans="1:17" x14ac:dyDescent="0.25">
      <c r="A299" s="10" t="s">
        <v>1713</v>
      </c>
      <c r="B299" s="11" t="s">
        <v>1714</v>
      </c>
      <c r="C299" s="10" t="s">
        <v>241</v>
      </c>
      <c r="D299" s="10"/>
      <c r="E299" s="10"/>
      <c r="F299" s="10" t="s">
        <v>1184</v>
      </c>
      <c r="G299" s="10"/>
      <c r="H299" s="10" t="s">
        <v>1185</v>
      </c>
      <c r="I299" s="10" t="s">
        <v>1186</v>
      </c>
      <c r="J299" s="10">
        <v>1</v>
      </c>
      <c r="K299" s="10" t="b">
        <f>FALSE()</f>
        <v>0</v>
      </c>
      <c r="L299" s="10"/>
      <c r="M299" s="10" t="s">
        <v>1187</v>
      </c>
      <c r="N299" s="10"/>
      <c r="O299" s="11" t="s">
        <v>1188</v>
      </c>
      <c r="P299" s="11"/>
      <c r="Q299" s="10"/>
    </row>
    <row r="300" ht="15" customHeight="1" spans="1:17" x14ac:dyDescent="0.25">
      <c r="A300" s="10" t="s">
        <v>1715</v>
      </c>
      <c r="B300" s="11" t="s">
        <v>1716</v>
      </c>
      <c r="C300" s="10" t="s">
        <v>241</v>
      </c>
      <c r="D300" s="10"/>
      <c r="E300" s="10"/>
      <c r="F300" s="10" t="s">
        <v>1184</v>
      </c>
      <c r="G300" s="10"/>
      <c r="H300" s="10" t="s">
        <v>1185</v>
      </c>
      <c r="I300" s="10" t="s">
        <v>1191</v>
      </c>
      <c r="J300" s="10">
        <v>1</v>
      </c>
      <c r="K300" s="10" t="b">
        <f>FALSE()</f>
        <v>0</v>
      </c>
      <c r="L300" s="10"/>
      <c r="M300" s="10" t="s">
        <v>1187</v>
      </c>
      <c r="N300" s="10"/>
      <c r="O300" s="11" t="s">
        <v>1188</v>
      </c>
      <c r="P300" s="11"/>
      <c r="Q300" s="10"/>
    </row>
    <row r="301" ht="15" customHeight="1" spans="1:17" x14ac:dyDescent="0.25">
      <c r="A301" s="10" t="s">
        <v>1717</v>
      </c>
      <c r="B301" s="11" t="s">
        <v>1718</v>
      </c>
      <c r="C301" s="10" t="s">
        <v>241</v>
      </c>
      <c r="D301" s="10"/>
      <c r="E301" s="10"/>
      <c r="F301" s="10" t="s">
        <v>1184</v>
      </c>
      <c r="G301" s="10"/>
      <c r="H301" s="10" t="s">
        <v>1185</v>
      </c>
      <c r="I301" s="10" t="s">
        <v>1194</v>
      </c>
      <c r="J301" s="10">
        <v>1</v>
      </c>
      <c r="K301" s="10" t="b">
        <f>FALSE()</f>
        <v>0</v>
      </c>
      <c r="L301" s="10"/>
      <c r="M301" s="10" t="s">
        <v>1187</v>
      </c>
      <c r="N301" s="10"/>
      <c r="O301" s="11" t="s">
        <v>1188</v>
      </c>
      <c r="P301" s="11"/>
      <c r="Q301" s="10"/>
    </row>
    <row r="302" ht="15" customHeight="1" spans="1:17" x14ac:dyDescent="0.25">
      <c r="A302" s="10" t="s">
        <v>1719</v>
      </c>
      <c r="B302" s="11" t="s">
        <v>1720</v>
      </c>
      <c r="C302" s="10" t="s">
        <v>241</v>
      </c>
      <c r="D302" s="10"/>
      <c r="E302" s="10"/>
      <c r="F302" s="10" t="s">
        <v>1184</v>
      </c>
      <c r="G302" s="10"/>
      <c r="H302" s="10" t="s">
        <v>1185</v>
      </c>
      <c r="I302" s="10" t="s">
        <v>1186</v>
      </c>
      <c r="J302" s="10">
        <v>1</v>
      </c>
      <c r="K302" s="10" t="b">
        <f>FALSE()</f>
        <v>0</v>
      </c>
      <c r="L302" s="10"/>
      <c r="M302" s="10" t="s">
        <v>1187</v>
      </c>
      <c r="N302" s="10"/>
      <c r="O302" s="11" t="s">
        <v>1188</v>
      </c>
      <c r="P302" s="11"/>
      <c r="Q302" s="10"/>
    </row>
    <row r="303" ht="15" customHeight="1" spans="1:17" x14ac:dyDescent="0.25">
      <c r="A303" s="10" t="s">
        <v>1721</v>
      </c>
      <c r="B303" s="11" t="s">
        <v>1722</v>
      </c>
      <c r="C303" s="10" t="s">
        <v>241</v>
      </c>
      <c r="D303" s="10"/>
      <c r="E303" s="10"/>
      <c r="F303" s="10" t="s">
        <v>1184</v>
      </c>
      <c r="G303" s="10"/>
      <c r="H303" s="10" t="s">
        <v>1185</v>
      </c>
      <c r="I303" s="10" t="s">
        <v>1186</v>
      </c>
      <c r="J303" s="10">
        <v>1</v>
      </c>
      <c r="K303" s="10" t="b">
        <f>FALSE()</f>
        <v>0</v>
      </c>
      <c r="L303" s="10"/>
      <c r="M303" s="10" t="s">
        <v>1187</v>
      </c>
      <c r="N303" s="10"/>
      <c r="O303" s="11" t="s">
        <v>1188</v>
      </c>
      <c r="P303" s="11"/>
      <c r="Q303" s="10"/>
    </row>
    <row r="304" ht="15" customHeight="1" spans="1:17" x14ac:dyDescent="0.25">
      <c r="A304" s="10" t="s">
        <v>1723</v>
      </c>
      <c r="B304" s="11" t="s">
        <v>1724</v>
      </c>
      <c r="C304" s="10" t="s">
        <v>142</v>
      </c>
      <c r="D304" s="10"/>
      <c r="E304" s="10"/>
      <c r="F304" s="10" t="s">
        <v>1184</v>
      </c>
      <c r="G304" s="10"/>
      <c r="H304" s="10" t="s">
        <v>1185</v>
      </c>
      <c r="I304" s="10" t="s">
        <v>1186</v>
      </c>
      <c r="J304" s="10">
        <v>1</v>
      </c>
      <c r="K304" s="10" t="b">
        <f>FALSE()</f>
        <v>0</v>
      </c>
      <c r="L304" s="10"/>
      <c r="M304" s="10" t="s">
        <v>1187</v>
      </c>
      <c r="N304" s="10"/>
      <c r="O304" s="11" t="s">
        <v>1188</v>
      </c>
      <c r="P304" s="11"/>
      <c r="Q304" s="10"/>
    </row>
    <row r="305" ht="15" customHeight="1" spans="1:17" x14ac:dyDescent="0.25">
      <c r="A305" s="10" t="s">
        <v>1725</v>
      </c>
      <c r="B305" s="11" t="s">
        <v>1726</v>
      </c>
      <c r="C305" s="10" t="s">
        <v>241</v>
      </c>
      <c r="D305" s="10"/>
      <c r="E305" s="10"/>
      <c r="F305" s="10" t="s">
        <v>1184</v>
      </c>
      <c r="G305" s="10"/>
      <c r="H305" s="10" t="s">
        <v>1185</v>
      </c>
      <c r="I305" s="10" t="s">
        <v>1191</v>
      </c>
      <c r="J305" s="10">
        <v>1</v>
      </c>
      <c r="K305" s="10" t="b">
        <f>FALSE()</f>
        <v>0</v>
      </c>
      <c r="L305" s="10"/>
      <c r="M305" s="10" t="s">
        <v>1187</v>
      </c>
      <c r="N305" s="10"/>
      <c r="O305" s="11" t="s">
        <v>1188</v>
      </c>
      <c r="P305" s="11"/>
      <c r="Q305" s="10"/>
    </row>
    <row r="306" ht="15" customHeight="1" spans="1:17" x14ac:dyDescent="0.25">
      <c r="A306" s="10" t="s">
        <v>1727</v>
      </c>
      <c r="B306" s="11" t="s">
        <v>1728</v>
      </c>
      <c r="C306" s="10" t="s">
        <v>241</v>
      </c>
      <c r="D306" s="10"/>
      <c r="E306" s="10"/>
      <c r="F306" s="10" t="s">
        <v>1184</v>
      </c>
      <c r="G306" s="10"/>
      <c r="H306" s="10" t="s">
        <v>1185</v>
      </c>
      <c r="I306" s="10" t="s">
        <v>1186</v>
      </c>
      <c r="J306" s="10">
        <v>1</v>
      </c>
      <c r="K306" s="10" t="b">
        <f>FALSE()</f>
        <v>0</v>
      </c>
      <c r="L306" s="10"/>
      <c r="M306" s="10" t="s">
        <v>1187</v>
      </c>
      <c r="N306" s="10"/>
      <c r="O306" s="11" t="s">
        <v>1188</v>
      </c>
      <c r="P306" s="11"/>
      <c r="Q306" s="10"/>
    </row>
    <row r="307" ht="15" customHeight="1" spans="1:17" x14ac:dyDescent="0.25">
      <c r="A307" s="10" t="s">
        <v>1729</v>
      </c>
      <c r="B307" s="11" t="s">
        <v>1730</v>
      </c>
      <c r="C307" s="10" t="s">
        <v>241</v>
      </c>
      <c r="D307" s="10"/>
      <c r="E307" s="10"/>
      <c r="F307" s="10" t="s">
        <v>1184</v>
      </c>
      <c r="G307" s="10"/>
      <c r="H307" s="10" t="s">
        <v>1185</v>
      </c>
      <c r="I307" s="10" t="s">
        <v>1186</v>
      </c>
      <c r="J307" s="10">
        <v>1</v>
      </c>
      <c r="K307" s="10" t="b">
        <f>FALSE()</f>
        <v>0</v>
      </c>
      <c r="L307" s="10"/>
      <c r="M307" s="10" t="s">
        <v>1187</v>
      </c>
      <c r="N307" s="10"/>
      <c r="O307" s="11" t="s">
        <v>1188</v>
      </c>
      <c r="P307" s="11"/>
      <c r="Q307" s="10"/>
    </row>
    <row r="308" ht="15" customHeight="1" spans="1:17" x14ac:dyDescent="0.25">
      <c r="A308" s="10" t="s">
        <v>1731</v>
      </c>
      <c r="B308" s="11" t="s">
        <v>1732</v>
      </c>
      <c r="C308" s="10" t="s">
        <v>241</v>
      </c>
      <c r="D308" s="10"/>
      <c r="E308" s="10"/>
      <c r="F308" s="10" t="s">
        <v>1184</v>
      </c>
      <c r="G308" s="10"/>
      <c r="H308" s="10" t="s">
        <v>1185</v>
      </c>
      <c r="I308" s="10" t="s">
        <v>1186</v>
      </c>
      <c r="J308" s="10">
        <v>1</v>
      </c>
      <c r="K308" s="10" t="b">
        <f>FALSE()</f>
        <v>0</v>
      </c>
      <c r="L308" s="10"/>
      <c r="M308" s="10" t="s">
        <v>1187</v>
      </c>
      <c r="N308" s="10"/>
      <c r="O308" s="11" t="s">
        <v>1188</v>
      </c>
      <c r="P308" s="11"/>
      <c r="Q308" s="10"/>
    </row>
    <row r="309" ht="15" customHeight="1" spans="1:17" x14ac:dyDescent="0.25">
      <c r="A309" s="10" t="s">
        <v>1733</v>
      </c>
      <c r="B309" s="11" t="s">
        <v>1734</v>
      </c>
      <c r="C309" s="10" t="s">
        <v>241</v>
      </c>
      <c r="D309" s="10"/>
      <c r="E309" s="10"/>
      <c r="F309" s="10" t="s">
        <v>1184</v>
      </c>
      <c r="G309" s="10"/>
      <c r="H309" s="10" t="s">
        <v>1185</v>
      </c>
      <c r="I309" s="10" t="s">
        <v>1186</v>
      </c>
      <c r="J309" s="10">
        <v>1</v>
      </c>
      <c r="K309" s="10" t="b">
        <f>FALSE()</f>
        <v>0</v>
      </c>
      <c r="L309" s="10"/>
      <c r="M309" s="10" t="s">
        <v>1187</v>
      </c>
      <c r="N309" s="10"/>
      <c r="O309" s="11" t="s">
        <v>1188</v>
      </c>
      <c r="P309" s="11"/>
      <c r="Q309" s="10"/>
    </row>
    <row r="310" ht="15" customHeight="1" spans="1:17" x14ac:dyDescent="0.25">
      <c r="A310" s="10" t="s">
        <v>1735</v>
      </c>
      <c r="B310" s="11" t="s">
        <v>1736</v>
      </c>
      <c r="C310" s="10" t="s">
        <v>241</v>
      </c>
      <c r="D310" s="10"/>
      <c r="E310" s="10"/>
      <c r="F310" s="10" t="s">
        <v>1184</v>
      </c>
      <c r="G310" s="10"/>
      <c r="H310" s="10" t="s">
        <v>1185</v>
      </c>
      <c r="I310" s="10" t="s">
        <v>1191</v>
      </c>
      <c r="J310" s="10">
        <v>1</v>
      </c>
      <c r="K310" s="10" t="b">
        <f>FALSE()</f>
        <v>0</v>
      </c>
      <c r="L310" s="10"/>
      <c r="M310" s="10" t="s">
        <v>1187</v>
      </c>
      <c r="N310" s="10"/>
      <c r="O310" s="11" t="s">
        <v>1188</v>
      </c>
      <c r="P310" s="11"/>
      <c r="Q310" s="10"/>
    </row>
    <row r="311" ht="15" customHeight="1" spans="1:17" x14ac:dyDescent="0.25">
      <c r="A311" s="10" t="s">
        <v>1737</v>
      </c>
      <c r="B311" s="11" t="s">
        <v>1738</v>
      </c>
      <c r="C311" s="10" t="s">
        <v>241</v>
      </c>
      <c r="D311" s="10"/>
      <c r="E311" s="10"/>
      <c r="F311" s="10" t="s">
        <v>1184</v>
      </c>
      <c r="G311" s="10"/>
      <c r="H311" s="10" t="s">
        <v>1185</v>
      </c>
      <c r="I311" s="10" t="s">
        <v>1186</v>
      </c>
      <c r="J311" s="10">
        <v>1</v>
      </c>
      <c r="K311" s="10" t="b">
        <f>FALSE()</f>
        <v>0</v>
      </c>
      <c r="L311" s="10"/>
      <c r="M311" s="10" t="s">
        <v>1187</v>
      </c>
      <c r="N311" s="10"/>
      <c r="O311" s="11" t="s">
        <v>1188</v>
      </c>
      <c r="P311" s="11"/>
      <c r="Q311" s="10"/>
    </row>
    <row r="312" ht="15" customHeight="1" spans="1:17" x14ac:dyDescent="0.25">
      <c r="A312" s="10" t="s">
        <v>1739</v>
      </c>
      <c r="B312" s="11" t="s">
        <v>1740</v>
      </c>
      <c r="C312" s="10" t="s">
        <v>241</v>
      </c>
      <c r="D312" s="10"/>
      <c r="E312" s="10"/>
      <c r="F312" s="10" t="s">
        <v>1184</v>
      </c>
      <c r="G312" s="10"/>
      <c r="H312" s="10" t="s">
        <v>1185</v>
      </c>
      <c r="I312" s="10" t="s">
        <v>1186</v>
      </c>
      <c r="J312" s="10">
        <v>1</v>
      </c>
      <c r="K312" s="10" t="b">
        <f>FALSE()</f>
        <v>0</v>
      </c>
      <c r="L312" s="10"/>
      <c r="M312" s="10" t="s">
        <v>1187</v>
      </c>
      <c r="N312" s="10"/>
      <c r="O312" s="11" t="s">
        <v>1188</v>
      </c>
      <c r="P312" s="11"/>
      <c r="Q312" s="10"/>
    </row>
    <row r="313" ht="15" customHeight="1" spans="1:17" x14ac:dyDescent="0.25">
      <c r="A313" s="10" t="s">
        <v>1741</v>
      </c>
      <c r="B313" s="11" t="s">
        <v>1742</v>
      </c>
      <c r="C313" s="10" t="s">
        <v>241</v>
      </c>
      <c r="D313" s="10"/>
      <c r="E313" s="10"/>
      <c r="F313" s="10" t="s">
        <v>1184</v>
      </c>
      <c r="G313" s="10"/>
      <c r="H313" s="10" t="s">
        <v>1185</v>
      </c>
      <c r="I313" s="10" t="s">
        <v>1186</v>
      </c>
      <c r="J313" s="10">
        <v>1</v>
      </c>
      <c r="K313" s="10" t="b">
        <f>FALSE()</f>
        <v>0</v>
      </c>
      <c r="L313" s="10"/>
      <c r="M313" s="10" t="s">
        <v>1187</v>
      </c>
      <c r="N313" s="10"/>
      <c r="O313" s="11" t="s">
        <v>1188</v>
      </c>
      <c r="P313" s="11"/>
      <c r="Q313" s="10"/>
    </row>
    <row r="314" ht="15" customHeight="1" spans="1:17" x14ac:dyDescent="0.25">
      <c r="A314" s="10" t="s">
        <v>1743</v>
      </c>
      <c r="B314" s="11" t="s">
        <v>1744</v>
      </c>
      <c r="C314" s="10" t="s">
        <v>241</v>
      </c>
      <c r="D314" s="10"/>
      <c r="E314" s="10"/>
      <c r="F314" s="10" t="s">
        <v>1184</v>
      </c>
      <c r="G314" s="10"/>
      <c r="H314" s="10" t="s">
        <v>1185</v>
      </c>
      <c r="I314" s="10" t="s">
        <v>121</v>
      </c>
      <c r="J314" s="10">
        <v>2</v>
      </c>
      <c r="K314" s="10" t="b">
        <f>FALSE()</f>
        <v>0</v>
      </c>
      <c r="L314" s="10"/>
      <c r="M314" s="10" t="s">
        <v>1296</v>
      </c>
      <c r="N314" s="10"/>
      <c r="O314" s="11" t="s">
        <v>1745</v>
      </c>
      <c r="P314" s="11"/>
      <c r="Q314" s="10"/>
    </row>
    <row r="315" ht="15" customHeight="1" spans="1:17" x14ac:dyDescent="0.25">
      <c r="A315" s="10" t="s">
        <v>1746</v>
      </c>
      <c r="B315" s="11" t="s">
        <v>1747</v>
      </c>
      <c r="C315" s="10" t="s">
        <v>241</v>
      </c>
      <c r="D315" s="10"/>
      <c r="E315" s="10"/>
      <c r="F315" s="10" t="s">
        <v>1184</v>
      </c>
      <c r="G315" s="10"/>
      <c r="H315" s="10" t="s">
        <v>1185</v>
      </c>
      <c r="I315" s="10" t="s">
        <v>1194</v>
      </c>
      <c r="J315" s="10">
        <v>1</v>
      </c>
      <c r="K315" s="10" t="b">
        <f>FALSE()</f>
        <v>0</v>
      </c>
      <c r="L315" s="10"/>
      <c r="M315" s="10" t="s">
        <v>1187</v>
      </c>
      <c r="N315" s="10"/>
      <c r="O315" s="11" t="s">
        <v>1188</v>
      </c>
      <c r="P315" s="11"/>
      <c r="Q315" s="10"/>
    </row>
    <row r="316" ht="15" customHeight="1" spans="1:17" x14ac:dyDescent="0.25">
      <c r="A316" s="10" t="s">
        <v>1748</v>
      </c>
      <c r="B316" s="11" t="s">
        <v>1749</v>
      </c>
      <c r="C316" s="10" t="s">
        <v>241</v>
      </c>
      <c r="D316" s="10"/>
      <c r="E316" s="10"/>
      <c r="F316" s="10" t="s">
        <v>1184</v>
      </c>
      <c r="G316" s="10"/>
      <c r="H316" s="10" t="s">
        <v>1185</v>
      </c>
      <c r="I316" s="10" t="s">
        <v>1186</v>
      </c>
      <c r="J316" s="10">
        <v>1</v>
      </c>
      <c r="K316" s="10" t="b">
        <f>FALSE()</f>
        <v>0</v>
      </c>
      <c r="L316" s="10"/>
      <c r="M316" s="10" t="s">
        <v>1187</v>
      </c>
      <c r="N316" s="10"/>
      <c r="O316" s="11" t="s">
        <v>1188</v>
      </c>
      <c r="P316" s="11"/>
      <c r="Q316" s="10"/>
    </row>
    <row r="317" ht="15" customHeight="1" spans="1:17" x14ac:dyDescent="0.25">
      <c r="A317" s="10" t="s">
        <v>1750</v>
      </c>
      <c r="B317" s="11" t="s">
        <v>1751</v>
      </c>
      <c r="C317" s="10" t="s">
        <v>241</v>
      </c>
      <c r="D317" s="10"/>
      <c r="E317" s="10"/>
      <c r="F317" s="10" t="s">
        <v>1184</v>
      </c>
      <c r="G317" s="10"/>
      <c r="H317" s="10" t="s">
        <v>1185</v>
      </c>
      <c r="I317" s="10" t="s">
        <v>1186</v>
      </c>
      <c r="J317" s="10">
        <v>1</v>
      </c>
      <c r="K317" s="10" t="b">
        <f>FALSE()</f>
        <v>0</v>
      </c>
      <c r="L317" s="10"/>
      <c r="M317" s="10" t="s">
        <v>1187</v>
      </c>
      <c r="N317" s="10"/>
      <c r="O317" s="11" t="s">
        <v>1188</v>
      </c>
      <c r="P317" s="11"/>
      <c r="Q317" s="10"/>
    </row>
    <row r="318" ht="15" customHeight="1" spans="1:17" x14ac:dyDescent="0.25">
      <c r="A318" s="10" t="s">
        <v>1752</v>
      </c>
      <c r="B318" s="11" t="s">
        <v>1753</v>
      </c>
      <c r="C318" s="10" t="s">
        <v>241</v>
      </c>
      <c r="D318" s="10"/>
      <c r="E318" s="10"/>
      <c r="F318" s="10" t="s">
        <v>1184</v>
      </c>
      <c r="G318" s="10"/>
      <c r="H318" s="10" t="s">
        <v>1185</v>
      </c>
      <c r="I318" s="10" t="s">
        <v>1186</v>
      </c>
      <c r="J318" s="10">
        <v>1</v>
      </c>
      <c r="K318" s="10" t="b">
        <f>FALSE()</f>
        <v>0</v>
      </c>
      <c r="L318" s="10"/>
      <c r="M318" s="10" t="s">
        <v>1187</v>
      </c>
      <c r="N318" s="10"/>
      <c r="O318" s="11" t="s">
        <v>1188</v>
      </c>
      <c r="P318" s="11"/>
      <c r="Q318" s="10"/>
    </row>
    <row r="319" ht="15" customHeight="1" spans="1:17" x14ac:dyDescent="0.25">
      <c r="A319" s="10" t="s">
        <v>1754</v>
      </c>
      <c r="B319" s="11" t="s">
        <v>1755</v>
      </c>
      <c r="C319" s="10" t="s">
        <v>241</v>
      </c>
      <c r="D319" s="10"/>
      <c r="E319" s="10"/>
      <c r="F319" s="10" t="s">
        <v>1184</v>
      </c>
      <c r="G319" s="10"/>
      <c r="H319" s="10" t="s">
        <v>1185</v>
      </c>
      <c r="I319" s="10" t="s">
        <v>121</v>
      </c>
      <c r="J319" s="10">
        <v>2</v>
      </c>
      <c r="K319" s="10" t="b">
        <f>FALSE()</f>
        <v>0</v>
      </c>
      <c r="L319" s="10"/>
      <c r="M319" s="10" t="s">
        <v>1296</v>
      </c>
      <c r="N319" s="10"/>
      <c r="O319" s="11" t="s">
        <v>1297</v>
      </c>
      <c r="P319" s="11"/>
      <c r="Q319" s="10"/>
    </row>
    <row r="320" ht="15" customHeight="1" spans="1:17" x14ac:dyDescent="0.25">
      <c r="A320" s="10" t="s">
        <v>1756</v>
      </c>
      <c r="B320" s="11" t="s">
        <v>1757</v>
      </c>
      <c r="C320" s="10" t="s">
        <v>241</v>
      </c>
      <c r="D320" s="10"/>
      <c r="E320" s="10"/>
      <c r="F320" s="10" t="s">
        <v>1184</v>
      </c>
      <c r="G320" s="10"/>
      <c r="H320" s="10" t="s">
        <v>1185</v>
      </c>
      <c r="I320" s="10" t="s">
        <v>1186</v>
      </c>
      <c r="J320" s="10">
        <v>1</v>
      </c>
      <c r="K320" s="10" t="b">
        <f>FALSE()</f>
        <v>0</v>
      </c>
      <c r="L320" s="10"/>
      <c r="M320" s="10" t="s">
        <v>1187</v>
      </c>
      <c r="N320" s="10"/>
      <c r="O320" s="11" t="s">
        <v>1188</v>
      </c>
      <c r="P320" s="11"/>
      <c r="Q320" s="10"/>
    </row>
    <row r="321" ht="15" customHeight="1" spans="1:17" x14ac:dyDescent="0.25">
      <c r="A321" s="10" t="s">
        <v>1758</v>
      </c>
      <c r="B321" s="11" t="s">
        <v>1759</v>
      </c>
      <c r="C321" s="10" t="s">
        <v>241</v>
      </c>
      <c r="D321" s="10"/>
      <c r="E321" s="10"/>
      <c r="F321" s="10" t="s">
        <v>1184</v>
      </c>
      <c r="G321" s="10"/>
      <c r="H321" s="10" t="s">
        <v>1185</v>
      </c>
      <c r="I321" s="10" t="s">
        <v>1186</v>
      </c>
      <c r="J321" s="10">
        <v>1</v>
      </c>
      <c r="K321" s="10" t="b">
        <f>FALSE()</f>
        <v>0</v>
      </c>
      <c r="L321" s="10"/>
      <c r="M321" s="10" t="s">
        <v>1187</v>
      </c>
      <c r="N321" s="10"/>
      <c r="O321" s="11" t="s">
        <v>1188</v>
      </c>
      <c r="P321" s="11"/>
      <c r="Q321" s="10"/>
    </row>
    <row r="322" ht="15" customHeight="1" spans="1:17" x14ac:dyDescent="0.25">
      <c r="A322" s="10" t="s">
        <v>1760</v>
      </c>
      <c r="B322" s="11" t="s">
        <v>1761</v>
      </c>
      <c r="C322" s="10" t="s">
        <v>241</v>
      </c>
      <c r="D322" s="10"/>
      <c r="E322" s="10"/>
      <c r="F322" s="10" t="s">
        <v>1184</v>
      </c>
      <c r="G322" s="10"/>
      <c r="H322" s="10" t="s">
        <v>1185</v>
      </c>
      <c r="I322" s="10" t="s">
        <v>1186</v>
      </c>
      <c r="J322" s="10">
        <v>1</v>
      </c>
      <c r="K322" s="10" t="b">
        <f>FALSE()</f>
        <v>0</v>
      </c>
      <c r="L322" s="10"/>
      <c r="M322" s="10" t="s">
        <v>1187</v>
      </c>
      <c r="N322" s="10"/>
      <c r="O322" s="11" t="s">
        <v>1188</v>
      </c>
      <c r="P322" s="11"/>
      <c r="Q322" s="10"/>
    </row>
    <row r="323" ht="15" customHeight="1" spans="1:17" x14ac:dyDescent="0.25">
      <c r="A323" s="10" t="s">
        <v>1762</v>
      </c>
      <c r="B323" s="11" t="s">
        <v>1763</v>
      </c>
      <c r="C323" s="10" t="s">
        <v>241</v>
      </c>
      <c r="D323" s="10"/>
      <c r="E323" s="10"/>
      <c r="F323" s="10" t="s">
        <v>1184</v>
      </c>
      <c r="G323" s="10"/>
      <c r="H323" s="10" t="s">
        <v>1185</v>
      </c>
      <c r="I323" s="10" t="s">
        <v>1186</v>
      </c>
      <c r="J323" s="10">
        <v>1</v>
      </c>
      <c r="K323" s="10" t="b">
        <f>FALSE()</f>
        <v>0</v>
      </c>
      <c r="L323" s="10"/>
      <c r="M323" s="10" t="s">
        <v>1187</v>
      </c>
      <c r="N323" s="10"/>
      <c r="O323" s="11" t="s">
        <v>1188</v>
      </c>
      <c r="P323" s="11"/>
      <c r="Q323" s="10"/>
    </row>
    <row r="324" ht="15" customHeight="1" spans="1:17" x14ac:dyDescent="0.25">
      <c r="A324" s="10" t="s">
        <v>1764</v>
      </c>
      <c r="B324" s="11" t="s">
        <v>1765</v>
      </c>
      <c r="C324" s="10" t="s">
        <v>241</v>
      </c>
      <c r="D324" s="10"/>
      <c r="E324" s="10"/>
      <c r="F324" s="10" t="s">
        <v>1184</v>
      </c>
      <c r="G324" s="10"/>
      <c r="H324" s="10" t="s">
        <v>1185</v>
      </c>
      <c r="I324" s="10" t="s">
        <v>1191</v>
      </c>
      <c r="J324" s="10">
        <v>1</v>
      </c>
      <c r="K324" s="10" t="b">
        <f>FALSE()</f>
        <v>0</v>
      </c>
      <c r="L324" s="10"/>
      <c r="M324" s="10" t="s">
        <v>1187</v>
      </c>
      <c r="N324" s="10"/>
      <c r="O324" s="11" t="s">
        <v>1188</v>
      </c>
      <c r="P324" s="11"/>
      <c r="Q324" s="10"/>
    </row>
    <row r="325" ht="15" customHeight="1" spans="1:17" x14ac:dyDescent="0.25">
      <c r="A325" s="10" t="s">
        <v>1766</v>
      </c>
      <c r="B325" s="11" t="s">
        <v>1767</v>
      </c>
      <c r="C325" s="10" t="s">
        <v>241</v>
      </c>
      <c r="D325" s="10"/>
      <c r="E325" s="10"/>
      <c r="F325" s="10" t="s">
        <v>1184</v>
      </c>
      <c r="G325" s="10"/>
      <c r="H325" s="10" t="s">
        <v>1185</v>
      </c>
      <c r="I325" s="10" t="s">
        <v>1186</v>
      </c>
      <c r="J325" s="10">
        <v>1</v>
      </c>
      <c r="K325" s="10" t="b">
        <f>FALSE()</f>
        <v>0</v>
      </c>
      <c r="L325" s="10"/>
      <c r="M325" s="10" t="s">
        <v>1187</v>
      </c>
      <c r="N325" s="10"/>
      <c r="O325" s="11" t="s">
        <v>1188</v>
      </c>
      <c r="P325" s="11"/>
      <c r="Q325" s="10"/>
    </row>
    <row r="326" ht="15" customHeight="1" spans="1:17" x14ac:dyDescent="0.25">
      <c r="A326" s="10" t="s">
        <v>1768</v>
      </c>
      <c r="B326" s="11" t="s">
        <v>1769</v>
      </c>
      <c r="C326" s="10" t="s">
        <v>241</v>
      </c>
      <c r="D326" s="10"/>
      <c r="E326" s="10"/>
      <c r="F326" s="10" t="s">
        <v>1184</v>
      </c>
      <c r="G326" s="10"/>
      <c r="H326" s="10" t="s">
        <v>1185</v>
      </c>
      <c r="I326" s="10" t="s">
        <v>1186</v>
      </c>
      <c r="J326" s="10">
        <v>1</v>
      </c>
      <c r="K326" s="10" t="b">
        <f>FALSE()</f>
        <v>0</v>
      </c>
      <c r="L326" s="10"/>
      <c r="M326" s="10" t="s">
        <v>1187</v>
      </c>
      <c r="N326" s="10"/>
      <c r="O326" s="11" t="s">
        <v>1188</v>
      </c>
      <c r="P326" s="11"/>
      <c r="Q326" s="10"/>
    </row>
    <row r="327" ht="15" customHeight="1" spans="1:17" x14ac:dyDescent="0.25">
      <c r="A327" s="10" t="s">
        <v>1770</v>
      </c>
      <c r="B327" s="11" t="s">
        <v>1771</v>
      </c>
      <c r="C327" s="10" t="s">
        <v>241</v>
      </c>
      <c r="D327" s="10"/>
      <c r="E327" s="10"/>
      <c r="F327" s="10" t="s">
        <v>1184</v>
      </c>
      <c r="G327" s="10"/>
      <c r="H327" s="10" t="s">
        <v>1185</v>
      </c>
      <c r="I327" s="10" t="s">
        <v>1186</v>
      </c>
      <c r="J327" s="10">
        <v>1</v>
      </c>
      <c r="K327" s="10" t="b">
        <f>FALSE()</f>
        <v>0</v>
      </c>
      <c r="L327" s="10"/>
      <c r="M327" s="10" t="s">
        <v>1187</v>
      </c>
      <c r="N327" s="10"/>
      <c r="O327" s="11" t="s">
        <v>1188</v>
      </c>
      <c r="P327" s="11"/>
      <c r="Q327" s="10"/>
    </row>
    <row r="328" ht="15" customHeight="1" spans="1:17" x14ac:dyDescent="0.25">
      <c r="A328" s="10" t="s">
        <v>1772</v>
      </c>
      <c r="B328" s="11" t="s">
        <v>1773</v>
      </c>
      <c r="C328" s="10" t="s">
        <v>241</v>
      </c>
      <c r="D328" s="10"/>
      <c r="E328" s="10"/>
      <c r="F328" s="10" t="s">
        <v>1184</v>
      </c>
      <c r="G328" s="10"/>
      <c r="H328" s="10" t="s">
        <v>1185</v>
      </c>
      <c r="I328" s="10" t="s">
        <v>1186</v>
      </c>
      <c r="J328" s="10">
        <v>1</v>
      </c>
      <c r="K328" s="10" t="b">
        <f>FALSE()</f>
        <v>0</v>
      </c>
      <c r="L328" s="10"/>
      <c r="M328" s="10" t="s">
        <v>1187</v>
      </c>
      <c r="N328" s="10"/>
      <c r="O328" s="11" t="s">
        <v>1188</v>
      </c>
      <c r="P328" s="11"/>
      <c r="Q328" s="10"/>
    </row>
    <row r="329" ht="15" customHeight="1" spans="1:17" x14ac:dyDescent="0.25">
      <c r="A329" s="10" t="s">
        <v>1774</v>
      </c>
      <c r="B329" s="11" t="s">
        <v>1775</v>
      </c>
      <c r="C329" s="10" t="s">
        <v>241</v>
      </c>
      <c r="D329" s="10"/>
      <c r="E329" s="10"/>
      <c r="F329" s="10" t="s">
        <v>1184</v>
      </c>
      <c r="G329" s="10"/>
      <c r="H329" s="10" t="s">
        <v>1185</v>
      </c>
      <c r="I329" s="10" t="s">
        <v>1186</v>
      </c>
      <c r="J329" s="10">
        <v>1</v>
      </c>
      <c r="K329" s="10" t="b">
        <f>FALSE()</f>
        <v>0</v>
      </c>
      <c r="L329" s="10"/>
      <c r="M329" s="10" t="s">
        <v>1187</v>
      </c>
      <c r="N329" s="10"/>
      <c r="O329" s="11" t="s">
        <v>1188</v>
      </c>
      <c r="P329" s="11"/>
      <c r="Q329" s="10"/>
    </row>
    <row r="330" ht="15" customHeight="1" spans="1:17" x14ac:dyDescent="0.25">
      <c r="A330" s="10" t="s">
        <v>1776</v>
      </c>
      <c r="B330" s="11" t="s">
        <v>1777</v>
      </c>
      <c r="C330" s="10" t="s">
        <v>241</v>
      </c>
      <c r="D330" s="10"/>
      <c r="E330" s="10"/>
      <c r="F330" s="10" t="s">
        <v>1184</v>
      </c>
      <c r="G330" s="10"/>
      <c r="H330" s="10" t="s">
        <v>1185</v>
      </c>
      <c r="I330" s="10" t="s">
        <v>1186</v>
      </c>
      <c r="J330" s="10">
        <v>1</v>
      </c>
      <c r="K330" s="10" t="b">
        <f>FALSE()</f>
        <v>0</v>
      </c>
      <c r="L330" s="10"/>
      <c r="M330" s="10" t="s">
        <v>1187</v>
      </c>
      <c r="N330" s="10"/>
      <c r="O330" s="11" t="s">
        <v>1188</v>
      </c>
      <c r="P330" s="11"/>
      <c r="Q330" s="10"/>
    </row>
    <row r="331" ht="15" customHeight="1" spans="1:17" x14ac:dyDescent="0.25">
      <c r="A331" s="10" t="s">
        <v>1778</v>
      </c>
      <c r="B331" s="11" t="s">
        <v>1779</v>
      </c>
      <c r="C331" s="10" t="s">
        <v>241</v>
      </c>
      <c r="D331" s="10"/>
      <c r="E331" s="10"/>
      <c r="F331" s="10" t="s">
        <v>1184</v>
      </c>
      <c r="G331" s="10"/>
      <c r="H331" s="10" t="s">
        <v>1185</v>
      </c>
      <c r="I331" s="10" t="s">
        <v>1186</v>
      </c>
      <c r="J331" s="10">
        <v>1</v>
      </c>
      <c r="K331" s="10" t="b">
        <f>FALSE()</f>
        <v>0</v>
      </c>
      <c r="L331" s="10"/>
      <c r="M331" s="10" t="s">
        <v>1187</v>
      </c>
      <c r="N331" s="10"/>
      <c r="O331" s="11" t="s">
        <v>1188</v>
      </c>
      <c r="P331" s="11"/>
      <c r="Q331" s="10"/>
    </row>
    <row r="332" ht="15" customHeight="1" spans="1:17" x14ac:dyDescent="0.25">
      <c r="A332" s="10" t="s">
        <v>1780</v>
      </c>
      <c r="B332" s="11" t="s">
        <v>1781</v>
      </c>
      <c r="C332" s="10" t="s">
        <v>241</v>
      </c>
      <c r="D332" s="10"/>
      <c r="E332" s="10"/>
      <c r="F332" s="10" t="s">
        <v>1184</v>
      </c>
      <c r="G332" s="10"/>
      <c r="H332" s="10" t="s">
        <v>1185</v>
      </c>
      <c r="I332" s="10" t="s">
        <v>1186</v>
      </c>
      <c r="J332" s="10">
        <v>1</v>
      </c>
      <c r="K332" s="10" t="b">
        <f>FALSE()</f>
        <v>0</v>
      </c>
      <c r="L332" s="10"/>
      <c r="M332" s="10" t="s">
        <v>1187</v>
      </c>
      <c r="N332" s="10"/>
      <c r="O332" s="11" t="s">
        <v>1188</v>
      </c>
      <c r="P332" s="11"/>
      <c r="Q332" s="10"/>
    </row>
    <row r="333" ht="15" customHeight="1" spans="1:17" x14ac:dyDescent="0.25">
      <c r="A333" s="10" t="s">
        <v>1782</v>
      </c>
      <c r="B333" s="11" t="s">
        <v>1783</v>
      </c>
      <c r="C333" s="10" t="s">
        <v>241</v>
      </c>
      <c r="D333" s="10"/>
      <c r="E333" s="10"/>
      <c r="F333" s="10" t="s">
        <v>1184</v>
      </c>
      <c r="G333" s="10"/>
      <c r="H333" s="10" t="s">
        <v>1185</v>
      </c>
      <c r="I333" s="10" t="s">
        <v>1186</v>
      </c>
      <c r="J333" s="10">
        <v>1</v>
      </c>
      <c r="K333" s="10" t="b">
        <f>FALSE()</f>
        <v>0</v>
      </c>
      <c r="L333" s="10"/>
      <c r="M333" s="10" t="s">
        <v>1187</v>
      </c>
      <c r="N333" s="10"/>
      <c r="O333" s="11" t="s">
        <v>1188</v>
      </c>
      <c r="P333" s="11"/>
      <c r="Q333" s="10"/>
    </row>
    <row r="334" ht="15" customHeight="1" spans="1:17" x14ac:dyDescent="0.25">
      <c r="A334" s="10" t="s">
        <v>1784</v>
      </c>
      <c r="B334" s="11" t="s">
        <v>1785</v>
      </c>
      <c r="C334" s="10" t="s">
        <v>241</v>
      </c>
      <c r="D334" s="10"/>
      <c r="E334" s="10"/>
      <c r="F334" s="10" t="s">
        <v>1184</v>
      </c>
      <c r="G334" s="10"/>
      <c r="H334" s="10" t="s">
        <v>1185</v>
      </c>
      <c r="I334" s="10" t="s">
        <v>1186</v>
      </c>
      <c r="J334" s="10">
        <v>1</v>
      </c>
      <c r="K334" s="10" t="b">
        <f>FALSE()</f>
        <v>0</v>
      </c>
      <c r="L334" s="10"/>
      <c r="M334" s="10" t="s">
        <v>1187</v>
      </c>
      <c r="N334" s="10"/>
      <c r="O334" s="11" t="s">
        <v>1188</v>
      </c>
      <c r="P334" s="11"/>
      <c r="Q334" s="10"/>
    </row>
    <row r="335" ht="15" customHeight="1" spans="1:17" x14ac:dyDescent="0.25">
      <c r="A335" s="10" t="s">
        <v>1786</v>
      </c>
      <c r="B335" s="11" t="s">
        <v>1787</v>
      </c>
      <c r="C335" s="10" t="s">
        <v>241</v>
      </c>
      <c r="D335" s="10"/>
      <c r="E335" s="10"/>
      <c r="F335" s="10" t="s">
        <v>1184</v>
      </c>
      <c r="G335" s="10"/>
      <c r="H335" s="10" t="s">
        <v>1185</v>
      </c>
      <c r="I335" s="10" t="s">
        <v>1186</v>
      </c>
      <c r="J335" s="10">
        <v>1</v>
      </c>
      <c r="K335" s="10" t="b">
        <f>FALSE()</f>
        <v>0</v>
      </c>
      <c r="L335" s="10"/>
      <c r="M335" s="10" t="s">
        <v>1187</v>
      </c>
      <c r="N335" s="10"/>
      <c r="O335" s="11" t="s">
        <v>1188</v>
      </c>
      <c r="P335" s="11"/>
      <c r="Q335" s="10"/>
    </row>
    <row r="336" ht="15" customHeight="1" spans="1:17" x14ac:dyDescent="0.25">
      <c r="A336" s="10" t="s">
        <v>1788</v>
      </c>
      <c r="B336" s="11" t="s">
        <v>1789</v>
      </c>
      <c r="C336" s="10" t="s">
        <v>241</v>
      </c>
      <c r="D336" s="10"/>
      <c r="E336" s="10"/>
      <c r="F336" s="10" t="s">
        <v>1184</v>
      </c>
      <c r="G336" s="10"/>
      <c r="H336" s="10" t="s">
        <v>1185</v>
      </c>
      <c r="I336" s="10" t="s">
        <v>1186</v>
      </c>
      <c r="J336" s="10">
        <v>1</v>
      </c>
      <c r="K336" s="10" t="b">
        <f>FALSE()</f>
        <v>0</v>
      </c>
      <c r="L336" s="10"/>
      <c r="M336" s="10" t="s">
        <v>1187</v>
      </c>
      <c r="N336" s="10"/>
      <c r="O336" s="11" t="s">
        <v>1188</v>
      </c>
      <c r="P336" s="11"/>
      <c r="Q336" s="10"/>
    </row>
    <row r="337" ht="15" customHeight="1" spans="1:17" x14ac:dyDescent="0.25">
      <c r="A337" s="10" t="s">
        <v>1790</v>
      </c>
      <c r="B337" s="11" t="s">
        <v>1791</v>
      </c>
      <c r="C337" s="10" t="s">
        <v>241</v>
      </c>
      <c r="D337" s="10"/>
      <c r="E337" s="10"/>
      <c r="F337" s="10" t="s">
        <v>1184</v>
      </c>
      <c r="G337" s="10"/>
      <c r="H337" s="10" t="s">
        <v>1185</v>
      </c>
      <c r="I337" s="10" t="s">
        <v>1186</v>
      </c>
      <c r="J337" s="10">
        <v>1</v>
      </c>
      <c r="K337" s="10" t="b">
        <f>FALSE()</f>
        <v>0</v>
      </c>
      <c r="L337" s="10"/>
      <c r="M337" s="10" t="s">
        <v>1187</v>
      </c>
      <c r="N337" s="10"/>
      <c r="O337" s="11" t="s">
        <v>1188</v>
      </c>
      <c r="P337" s="11"/>
      <c r="Q337" s="10"/>
    </row>
    <row r="338" ht="15" customHeight="1" spans="1:17" x14ac:dyDescent="0.25">
      <c r="A338" s="10" t="s">
        <v>1792</v>
      </c>
      <c r="B338" s="11" t="s">
        <v>1793</v>
      </c>
      <c r="C338" s="10" t="s">
        <v>241</v>
      </c>
      <c r="D338" s="10"/>
      <c r="E338" s="10"/>
      <c r="F338" s="10" t="s">
        <v>1184</v>
      </c>
      <c r="G338" s="10"/>
      <c r="H338" s="10" t="s">
        <v>1185</v>
      </c>
      <c r="I338" s="10" t="s">
        <v>1194</v>
      </c>
      <c r="J338" s="10">
        <v>1</v>
      </c>
      <c r="K338" s="10" t="b">
        <f>FALSE()</f>
        <v>0</v>
      </c>
      <c r="L338" s="10"/>
      <c r="M338" s="10" t="s">
        <v>1187</v>
      </c>
      <c r="N338" s="10"/>
      <c r="O338" s="11" t="s">
        <v>1188</v>
      </c>
      <c r="P338" s="11"/>
      <c r="Q338" s="10"/>
    </row>
    <row r="339" ht="15" customHeight="1" spans="1:17" x14ac:dyDescent="0.25">
      <c r="A339" s="10" t="s">
        <v>1794</v>
      </c>
      <c r="B339" s="11" t="s">
        <v>1795</v>
      </c>
      <c r="C339" s="10" t="s">
        <v>241</v>
      </c>
      <c r="D339" s="10"/>
      <c r="E339" s="10"/>
      <c r="F339" s="10" t="s">
        <v>1184</v>
      </c>
      <c r="G339" s="10"/>
      <c r="H339" s="10" t="s">
        <v>1185</v>
      </c>
      <c r="I339" s="10" t="s">
        <v>1186</v>
      </c>
      <c r="J339" s="10">
        <v>1</v>
      </c>
      <c r="K339" s="10" t="b">
        <f>FALSE()</f>
        <v>0</v>
      </c>
      <c r="L339" s="10"/>
      <c r="M339" s="10" t="s">
        <v>1187</v>
      </c>
      <c r="N339" s="10"/>
      <c r="O339" s="11" t="s">
        <v>1188</v>
      </c>
      <c r="P339" s="11"/>
      <c r="Q339" s="10"/>
    </row>
    <row r="340" ht="15" customHeight="1" spans="1:17" x14ac:dyDescent="0.25">
      <c r="A340" s="10" t="s">
        <v>1796</v>
      </c>
      <c r="B340" s="11" t="s">
        <v>1797</v>
      </c>
      <c r="C340" s="10" t="s">
        <v>241</v>
      </c>
      <c r="D340" s="10"/>
      <c r="E340" s="10"/>
      <c r="F340" s="10" t="s">
        <v>1184</v>
      </c>
      <c r="G340" s="10"/>
      <c r="H340" s="10" t="s">
        <v>1185</v>
      </c>
      <c r="I340" s="10" t="s">
        <v>1186</v>
      </c>
      <c r="J340" s="10">
        <v>1</v>
      </c>
      <c r="K340" s="10" t="b">
        <f>FALSE()</f>
        <v>0</v>
      </c>
      <c r="L340" s="10"/>
      <c r="M340" s="10" t="s">
        <v>1187</v>
      </c>
      <c r="N340" s="10"/>
      <c r="O340" s="11" t="s">
        <v>1188</v>
      </c>
      <c r="P340" s="11"/>
      <c r="Q340" s="10"/>
    </row>
    <row r="341" ht="15" customHeight="1" spans="1:17" x14ac:dyDescent="0.25">
      <c r="A341" s="10" t="s">
        <v>1798</v>
      </c>
      <c r="B341" s="11" t="s">
        <v>1799</v>
      </c>
      <c r="C341" s="10" t="s">
        <v>241</v>
      </c>
      <c r="D341" s="10"/>
      <c r="E341" s="10"/>
      <c r="F341" s="10" t="s">
        <v>1184</v>
      </c>
      <c r="G341" s="10"/>
      <c r="H341" s="10" t="s">
        <v>1185</v>
      </c>
      <c r="I341" s="10" t="s">
        <v>112</v>
      </c>
      <c r="J341" s="10">
        <v>3</v>
      </c>
      <c r="K341" s="10" t="b">
        <f>FALSE()</f>
        <v>0</v>
      </c>
      <c r="L341" s="10"/>
      <c r="M341" s="10" t="s">
        <v>1349</v>
      </c>
      <c r="N341" s="10"/>
      <c r="O341" s="11" t="s">
        <v>1350</v>
      </c>
      <c r="P341" s="11"/>
      <c r="Q341" s="10"/>
    </row>
    <row r="342" ht="15" customHeight="1" spans="1:17" x14ac:dyDescent="0.25">
      <c r="A342" s="10" t="s">
        <v>1800</v>
      </c>
      <c r="B342" s="11" t="s">
        <v>1801</v>
      </c>
      <c r="C342" s="10" t="s">
        <v>241</v>
      </c>
      <c r="D342" s="10"/>
      <c r="E342" s="10"/>
      <c r="F342" s="10" t="s">
        <v>1184</v>
      </c>
      <c r="G342" s="10"/>
      <c r="H342" s="10" t="s">
        <v>1185</v>
      </c>
      <c r="I342" s="10" t="s">
        <v>1191</v>
      </c>
      <c r="J342" s="10">
        <v>1</v>
      </c>
      <c r="K342" s="10" t="b">
        <f>FALSE()</f>
        <v>0</v>
      </c>
      <c r="L342" s="10"/>
      <c r="M342" s="10" t="s">
        <v>1187</v>
      </c>
      <c r="N342" s="10"/>
      <c r="O342" s="11" t="s">
        <v>1188</v>
      </c>
      <c r="P342" s="11"/>
      <c r="Q342" s="10"/>
    </row>
    <row r="343" ht="15" customHeight="1" spans="1:17" x14ac:dyDescent="0.25">
      <c r="A343" s="10" t="s">
        <v>1802</v>
      </c>
      <c r="B343" s="11" t="s">
        <v>1803</v>
      </c>
      <c r="C343" s="10" t="s">
        <v>241</v>
      </c>
      <c r="D343" s="10"/>
      <c r="E343" s="10"/>
      <c r="F343" s="10" t="s">
        <v>1184</v>
      </c>
      <c r="G343" s="10"/>
      <c r="H343" s="10" t="s">
        <v>1185</v>
      </c>
      <c r="I343" s="10" t="s">
        <v>1186</v>
      </c>
      <c r="J343" s="10">
        <v>1</v>
      </c>
      <c r="K343" s="10" t="b">
        <f>FALSE()</f>
        <v>0</v>
      </c>
      <c r="L343" s="10"/>
      <c r="M343" s="10" t="s">
        <v>1187</v>
      </c>
      <c r="N343" s="10"/>
      <c r="O343" s="11" t="s">
        <v>1188</v>
      </c>
      <c r="P343" s="11"/>
      <c r="Q343" s="10"/>
    </row>
    <row r="344" ht="15" customHeight="1" spans="1:17" x14ac:dyDescent="0.25">
      <c r="A344" s="10" t="s">
        <v>1804</v>
      </c>
      <c r="B344" s="11" t="s">
        <v>1805</v>
      </c>
      <c r="C344" s="10" t="s">
        <v>241</v>
      </c>
      <c r="D344" s="10"/>
      <c r="E344" s="10"/>
      <c r="F344" s="10" t="s">
        <v>1184</v>
      </c>
      <c r="G344" s="10"/>
      <c r="H344" s="10" t="s">
        <v>1185</v>
      </c>
      <c r="I344" s="10" t="s">
        <v>1186</v>
      </c>
      <c r="J344" s="10">
        <v>1</v>
      </c>
      <c r="K344" s="10" t="b">
        <f>FALSE()</f>
        <v>0</v>
      </c>
      <c r="L344" s="10"/>
      <c r="M344" s="10" t="s">
        <v>1187</v>
      </c>
      <c r="N344" s="10"/>
      <c r="O344" s="11" t="s">
        <v>1188</v>
      </c>
      <c r="P344" s="11"/>
      <c r="Q344" s="10"/>
    </row>
    <row r="345" ht="15" customHeight="1" spans="1:17" x14ac:dyDescent="0.25">
      <c r="A345" s="10" t="s">
        <v>1806</v>
      </c>
      <c r="B345" s="11" t="s">
        <v>1807</v>
      </c>
      <c r="C345" s="10" t="s">
        <v>241</v>
      </c>
      <c r="D345" s="10"/>
      <c r="E345" s="10"/>
      <c r="F345" s="10" t="s">
        <v>1184</v>
      </c>
      <c r="G345" s="10"/>
      <c r="H345" s="10" t="s">
        <v>1185</v>
      </c>
      <c r="I345" s="10" t="s">
        <v>1194</v>
      </c>
      <c r="J345" s="10">
        <v>1</v>
      </c>
      <c r="K345" s="10" t="b">
        <f>FALSE()</f>
        <v>0</v>
      </c>
      <c r="L345" s="10"/>
      <c r="M345" s="10" t="s">
        <v>1187</v>
      </c>
      <c r="N345" s="10"/>
      <c r="O345" s="11" t="s">
        <v>1188</v>
      </c>
      <c r="P345" s="11"/>
      <c r="Q345" s="10"/>
    </row>
    <row r="346" ht="15" customHeight="1" spans="1:17" x14ac:dyDescent="0.25">
      <c r="A346" s="10" t="s">
        <v>1808</v>
      </c>
      <c r="B346" s="11" t="s">
        <v>1809</v>
      </c>
      <c r="C346" s="10" t="s">
        <v>241</v>
      </c>
      <c r="D346" s="10"/>
      <c r="E346" s="10"/>
      <c r="F346" s="10" t="s">
        <v>1184</v>
      </c>
      <c r="G346" s="10"/>
      <c r="H346" s="10" t="s">
        <v>1185</v>
      </c>
      <c r="I346" s="10" t="s">
        <v>1194</v>
      </c>
      <c r="J346" s="10">
        <v>1</v>
      </c>
      <c r="K346" s="10" t="b">
        <f>FALSE()</f>
        <v>0</v>
      </c>
      <c r="L346" s="10"/>
      <c r="M346" s="10" t="s">
        <v>1187</v>
      </c>
      <c r="N346" s="10"/>
      <c r="O346" s="11" t="s">
        <v>1188</v>
      </c>
      <c r="P346" s="11"/>
      <c r="Q346" s="10"/>
    </row>
    <row r="347" ht="15" customHeight="1" spans="1:17" x14ac:dyDescent="0.25">
      <c r="A347" s="10" t="s">
        <v>1810</v>
      </c>
      <c r="B347" s="11" t="s">
        <v>1811</v>
      </c>
      <c r="C347" s="10" t="s">
        <v>241</v>
      </c>
      <c r="D347" s="10"/>
      <c r="E347" s="10"/>
      <c r="F347" s="10" t="s">
        <v>1184</v>
      </c>
      <c r="G347" s="10"/>
      <c r="H347" s="10" t="s">
        <v>1185</v>
      </c>
      <c r="I347" s="10" t="s">
        <v>112</v>
      </c>
      <c r="J347" s="10">
        <v>3</v>
      </c>
      <c r="K347" s="10" t="b">
        <f>FALSE()</f>
        <v>0</v>
      </c>
      <c r="L347" s="10"/>
      <c r="M347" s="10" t="s">
        <v>1349</v>
      </c>
      <c r="N347" s="10"/>
      <c r="O347" s="11" t="s">
        <v>1350</v>
      </c>
      <c r="P347" s="11"/>
      <c r="Q347" s="10"/>
    </row>
    <row r="348" ht="15" customHeight="1" spans="1:17" x14ac:dyDescent="0.25">
      <c r="A348" s="10" t="s">
        <v>1812</v>
      </c>
      <c r="B348" s="11" t="s">
        <v>1813</v>
      </c>
      <c r="C348" s="10" t="s">
        <v>241</v>
      </c>
      <c r="D348" s="10"/>
      <c r="E348" s="10"/>
      <c r="F348" s="10" t="s">
        <v>1184</v>
      </c>
      <c r="G348" s="10"/>
      <c r="H348" s="10" t="s">
        <v>1185</v>
      </c>
      <c r="I348" s="10" t="s">
        <v>1186</v>
      </c>
      <c r="J348" s="10">
        <v>1</v>
      </c>
      <c r="K348" s="10" t="b">
        <f>FALSE()</f>
        <v>0</v>
      </c>
      <c r="L348" s="10"/>
      <c r="M348" s="10" t="s">
        <v>1187</v>
      </c>
      <c r="N348" s="10"/>
      <c r="O348" s="11" t="s">
        <v>1188</v>
      </c>
      <c r="P348" s="11"/>
      <c r="Q348" s="10"/>
    </row>
    <row r="349" ht="15" customHeight="1" spans="1:17" x14ac:dyDescent="0.25">
      <c r="A349" s="10" t="s">
        <v>1814</v>
      </c>
      <c r="B349" s="11" t="s">
        <v>1815</v>
      </c>
      <c r="C349" s="10" t="s">
        <v>241</v>
      </c>
      <c r="D349" s="10"/>
      <c r="E349" s="10"/>
      <c r="F349" s="10" t="s">
        <v>1184</v>
      </c>
      <c r="G349" s="10"/>
      <c r="H349" s="10" t="s">
        <v>1185</v>
      </c>
      <c r="I349" s="10" t="s">
        <v>1186</v>
      </c>
      <c r="J349" s="10">
        <v>1</v>
      </c>
      <c r="K349" s="10" t="b">
        <f>FALSE()</f>
        <v>0</v>
      </c>
      <c r="L349" s="10"/>
      <c r="M349" s="10" t="s">
        <v>1187</v>
      </c>
      <c r="N349" s="10"/>
      <c r="O349" s="11" t="s">
        <v>1188</v>
      </c>
      <c r="P349" s="11"/>
      <c r="Q349" s="10"/>
    </row>
    <row r="350" ht="15" customHeight="1" spans="1:17" x14ac:dyDescent="0.25">
      <c r="A350" s="10" t="s">
        <v>1816</v>
      </c>
      <c r="B350" s="11" t="s">
        <v>1817</v>
      </c>
      <c r="C350" s="10" t="s">
        <v>130</v>
      </c>
      <c r="D350" s="10"/>
      <c r="E350" s="10"/>
      <c r="F350" s="10" t="s">
        <v>1184</v>
      </c>
      <c r="G350" s="10"/>
      <c r="H350" s="10" t="s">
        <v>1185</v>
      </c>
      <c r="I350" s="10" t="s">
        <v>1191</v>
      </c>
      <c r="J350" s="10">
        <v>1</v>
      </c>
      <c r="K350" s="10" t="b">
        <f>FALSE()</f>
        <v>0</v>
      </c>
      <c r="L350" s="10"/>
      <c r="M350" s="10" t="s">
        <v>1187</v>
      </c>
      <c r="N350" s="10"/>
      <c r="O350" s="11" t="s">
        <v>1188</v>
      </c>
      <c r="P350" s="11"/>
      <c r="Q350" s="10"/>
    </row>
    <row r="351" ht="15" customHeight="1" spans="1:17" x14ac:dyDescent="0.25">
      <c r="A351" s="10" t="s">
        <v>1818</v>
      </c>
      <c r="B351" s="11" t="s">
        <v>1819</v>
      </c>
      <c r="C351" s="10" t="s">
        <v>130</v>
      </c>
      <c r="D351" s="10"/>
      <c r="E351" s="10"/>
      <c r="F351" s="10" t="s">
        <v>1184</v>
      </c>
      <c r="G351" s="10"/>
      <c r="H351" s="10" t="s">
        <v>1185</v>
      </c>
      <c r="I351" s="10" t="s">
        <v>1191</v>
      </c>
      <c r="J351" s="10">
        <v>1</v>
      </c>
      <c r="K351" s="10" t="b">
        <f>FALSE()</f>
        <v>0</v>
      </c>
      <c r="L351" s="10"/>
      <c r="M351" s="10" t="s">
        <v>1187</v>
      </c>
      <c r="N351" s="10"/>
      <c r="O351" s="11" t="s">
        <v>1188</v>
      </c>
      <c r="P351" s="11"/>
      <c r="Q351" s="10"/>
    </row>
    <row r="352" ht="15" customHeight="1" spans="1:17" x14ac:dyDescent="0.25">
      <c r="A352" s="10" t="s">
        <v>1820</v>
      </c>
      <c r="B352" s="11" t="s">
        <v>1821</v>
      </c>
      <c r="C352" s="10" t="s">
        <v>130</v>
      </c>
      <c r="D352" s="10"/>
      <c r="E352" s="10"/>
      <c r="F352" s="10" t="s">
        <v>1184</v>
      </c>
      <c r="G352" s="10"/>
      <c r="H352" s="10" t="s">
        <v>1185</v>
      </c>
      <c r="I352" s="10" t="s">
        <v>1186</v>
      </c>
      <c r="J352" s="10">
        <v>1</v>
      </c>
      <c r="K352" s="10" t="b">
        <f>FALSE()</f>
        <v>0</v>
      </c>
      <c r="L352" s="10"/>
      <c r="M352" s="10" t="s">
        <v>1187</v>
      </c>
      <c r="N352" s="10"/>
      <c r="O352" s="11" t="s">
        <v>1188</v>
      </c>
      <c r="P352" s="11"/>
      <c r="Q352" s="10"/>
    </row>
    <row r="353" ht="15" customHeight="1" spans="1:17" x14ac:dyDescent="0.25">
      <c r="A353" s="10" t="s">
        <v>1822</v>
      </c>
      <c r="B353" s="11" t="s">
        <v>1823</v>
      </c>
      <c r="C353" s="10" t="s">
        <v>130</v>
      </c>
      <c r="D353" s="10"/>
      <c r="E353" s="10"/>
      <c r="F353" s="10" t="s">
        <v>1184</v>
      </c>
      <c r="G353" s="10"/>
      <c r="H353" s="10" t="s">
        <v>1185</v>
      </c>
      <c r="I353" s="10" t="s">
        <v>1186</v>
      </c>
      <c r="J353" s="10">
        <v>1</v>
      </c>
      <c r="K353" s="10" t="b">
        <f>FALSE()</f>
        <v>0</v>
      </c>
      <c r="L353" s="10"/>
      <c r="M353" s="10" t="s">
        <v>1187</v>
      </c>
      <c r="N353" s="10"/>
      <c r="O353" s="11" t="s">
        <v>1188</v>
      </c>
      <c r="P353" s="11"/>
      <c r="Q353" s="10"/>
    </row>
    <row r="354" ht="15" customHeight="1" spans="1:17" x14ac:dyDescent="0.25">
      <c r="A354" s="10" t="s">
        <v>1824</v>
      </c>
      <c r="B354" s="11" t="s">
        <v>1825</v>
      </c>
      <c r="C354" s="10" t="s">
        <v>130</v>
      </c>
      <c r="D354" s="10"/>
      <c r="E354" s="10"/>
      <c r="F354" s="10" t="s">
        <v>1184</v>
      </c>
      <c r="G354" s="10"/>
      <c r="H354" s="10" t="s">
        <v>1185</v>
      </c>
      <c r="I354" s="10" t="s">
        <v>1186</v>
      </c>
      <c r="J354" s="10">
        <v>1</v>
      </c>
      <c r="K354" s="10" t="b">
        <f>FALSE()</f>
        <v>0</v>
      </c>
      <c r="L354" s="10"/>
      <c r="M354" s="10" t="s">
        <v>1187</v>
      </c>
      <c r="N354" s="10"/>
      <c r="O354" s="11" t="s">
        <v>1188</v>
      </c>
      <c r="P354" s="11"/>
      <c r="Q354" s="10"/>
    </row>
    <row r="355" ht="15" customHeight="1" spans="1:17" x14ac:dyDescent="0.25">
      <c r="A355" s="10" t="s">
        <v>1826</v>
      </c>
      <c r="B355" s="11" t="s">
        <v>1827</v>
      </c>
      <c r="C355" s="10" t="s">
        <v>241</v>
      </c>
      <c r="D355" s="10"/>
      <c r="E355" s="10"/>
      <c r="F355" s="10" t="s">
        <v>1184</v>
      </c>
      <c r="G355" s="10"/>
      <c r="H355" s="10" t="s">
        <v>1185</v>
      </c>
      <c r="I355" s="10" t="s">
        <v>1186</v>
      </c>
      <c r="J355" s="10">
        <v>1</v>
      </c>
      <c r="K355" s="10" t="b">
        <f>FALSE()</f>
        <v>0</v>
      </c>
      <c r="L355" s="10"/>
      <c r="M355" s="10" t="s">
        <v>1187</v>
      </c>
      <c r="N355" s="10"/>
      <c r="O355" s="11" t="s">
        <v>1188</v>
      </c>
      <c r="P355" s="11"/>
      <c r="Q355" s="10"/>
    </row>
    <row r="356" ht="15" customHeight="1" spans="1:17" x14ac:dyDescent="0.25">
      <c r="A356" s="10" t="s">
        <v>1828</v>
      </c>
      <c r="B356" s="11" t="s">
        <v>1829</v>
      </c>
      <c r="C356" s="10" t="s">
        <v>241</v>
      </c>
      <c r="D356" s="10"/>
      <c r="E356" s="10"/>
      <c r="F356" s="10" t="s">
        <v>1184</v>
      </c>
      <c r="G356" s="10"/>
      <c r="H356" s="10" t="s">
        <v>1185</v>
      </c>
      <c r="I356" s="10" t="s">
        <v>1186</v>
      </c>
      <c r="J356" s="10">
        <v>1</v>
      </c>
      <c r="K356" s="10" t="b">
        <f>FALSE()</f>
        <v>0</v>
      </c>
      <c r="L356" s="10"/>
      <c r="M356" s="10" t="s">
        <v>1187</v>
      </c>
      <c r="N356" s="10"/>
      <c r="O356" s="11" t="s">
        <v>1188</v>
      </c>
      <c r="P356" s="11"/>
      <c r="Q356" s="10"/>
    </row>
    <row r="357" ht="15" customHeight="1" spans="1:17" x14ac:dyDescent="0.25">
      <c r="A357" s="10" t="s">
        <v>1830</v>
      </c>
      <c r="B357" s="11" t="s">
        <v>1831</v>
      </c>
      <c r="C357" s="10" t="s">
        <v>241</v>
      </c>
      <c r="D357" s="10"/>
      <c r="E357" s="10"/>
      <c r="F357" s="10" t="s">
        <v>1184</v>
      </c>
      <c r="G357" s="10"/>
      <c r="H357" s="10" t="s">
        <v>1185</v>
      </c>
      <c r="I357" s="10" t="s">
        <v>1191</v>
      </c>
      <c r="J357" s="10">
        <v>1</v>
      </c>
      <c r="K357" s="10" t="b">
        <f>FALSE()</f>
        <v>0</v>
      </c>
      <c r="L357" s="10"/>
      <c r="M357" s="10" t="s">
        <v>1187</v>
      </c>
      <c r="N357" s="10"/>
      <c r="O357" s="11" t="s">
        <v>1188</v>
      </c>
      <c r="P357" s="11"/>
      <c r="Q357" s="10"/>
    </row>
    <row r="358" ht="15" customHeight="1" spans="1:17" x14ac:dyDescent="0.25">
      <c r="A358" s="10" t="s">
        <v>1832</v>
      </c>
      <c r="B358" s="11" t="s">
        <v>1833</v>
      </c>
      <c r="C358" s="10" t="s">
        <v>241</v>
      </c>
      <c r="D358" s="10"/>
      <c r="E358" s="10"/>
      <c r="F358" s="10" t="s">
        <v>1184</v>
      </c>
      <c r="G358" s="10"/>
      <c r="H358" s="10" t="s">
        <v>1185</v>
      </c>
      <c r="I358" s="10" t="s">
        <v>1186</v>
      </c>
      <c r="J358" s="10">
        <v>1</v>
      </c>
      <c r="K358" s="10" t="b">
        <f>FALSE()</f>
        <v>0</v>
      </c>
      <c r="L358" s="10"/>
      <c r="M358" s="10" t="s">
        <v>1187</v>
      </c>
      <c r="N358" s="10"/>
      <c r="O358" s="11" t="s">
        <v>1188</v>
      </c>
      <c r="P358" s="11"/>
      <c r="Q358" s="10"/>
    </row>
    <row r="359" ht="15" customHeight="1" spans="1:17" x14ac:dyDescent="0.25">
      <c r="A359" s="10" t="s">
        <v>1834</v>
      </c>
      <c r="B359" s="11" t="s">
        <v>1835</v>
      </c>
      <c r="C359" s="10" t="s">
        <v>241</v>
      </c>
      <c r="D359" s="10"/>
      <c r="E359" s="10"/>
      <c r="F359" s="10" t="s">
        <v>1184</v>
      </c>
      <c r="G359" s="10"/>
      <c r="H359" s="10" t="s">
        <v>1185</v>
      </c>
      <c r="I359" s="10" t="s">
        <v>1186</v>
      </c>
      <c r="J359" s="10">
        <v>1</v>
      </c>
      <c r="K359" s="10" t="b">
        <f>FALSE()</f>
        <v>0</v>
      </c>
      <c r="L359" s="10"/>
      <c r="M359" s="10" t="s">
        <v>1187</v>
      </c>
      <c r="N359" s="10"/>
      <c r="O359" s="11" t="s">
        <v>1188</v>
      </c>
      <c r="P359" s="11"/>
      <c r="Q359" s="10"/>
    </row>
    <row r="360" ht="15" customHeight="1" spans="1:17" x14ac:dyDescent="0.25">
      <c r="A360" s="10" t="s">
        <v>1836</v>
      </c>
      <c r="B360" s="11" t="s">
        <v>1176</v>
      </c>
      <c r="C360" s="10" t="s">
        <v>241</v>
      </c>
      <c r="D360" s="10"/>
      <c r="E360" s="10"/>
      <c r="F360" s="10" t="s">
        <v>1184</v>
      </c>
      <c r="G360" s="10"/>
      <c r="H360" s="10" t="s">
        <v>1185</v>
      </c>
      <c r="I360" s="10" t="s">
        <v>112</v>
      </c>
      <c r="J360" s="10">
        <v>3</v>
      </c>
      <c r="K360" s="10" t="b">
        <f>FALSE()</f>
        <v>0</v>
      </c>
      <c r="L360" s="10"/>
      <c r="M360" s="10" t="s">
        <v>1349</v>
      </c>
      <c r="N360" s="10"/>
      <c r="O360" s="11" t="s">
        <v>1350</v>
      </c>
      <c r="P360" s="11"/>
      <c r="Q360" s="10"/>
    </row>
    <row r="361" ht="15" customHeight="1" spans="1:17" x14ac:dyDescent="0.25">
      <c r="A361" s="10" t="s">
        <v>1837</v>
      </c>
      <c r="B361" s="11" t="s">
        <v>1838</v>
      </c>
      <c r="C361" s="10" t="s">
        <v>241</v>
      </c>
      <c r="D361" s="10"/>
      <c r="E361" s="10"/>
      <c r="F361" s="10" t="s">
        <v>1184</v>
      </c>
      <c r="G361" s="10"/>
      <c r="H361" s="10" t="s">
        <v>1185</v>
      </c>
      <c r="I361" s="10" t="s">
        <v>1186</v>
      </c>
      <c r="J361" s="10">
        <v>1</v>
      </c>
      <c r="K361" s="10" t="b">
        <f>FALSE()</f>
        <v>0</v>
      </c>
      <c r="L361" s="10"/>
      <c r="M361" s="10" t="s">
        <v>1187</v>
      </c>
      <c r="N361" s="10"/>
      <c r="O361" s="11" t="s">
        <v>1188</v>
      </c>
      <c r="P361" s="11"/>
      <c r="Q361" s="10"/>
    </row>
    <row r="362" ht="15" customHeight="1" spans="1:17" x14ac:dyDescent="0.25">
      <c r="A362" s="10" t="s">
        <v>1839</v>
      </c>
      <c r="B362" s="11" t="s">
        <v>1840</v>
      </c>
      <c r="C362" s="10" t="s">
        <v>241</v>
      </c>
      <c r="D362" s="10"/>
      <c r="E362" s="10"/>
      <c r="F362" s="10" t="s">
        <v>1184</v>
      </c>
      <c r="G362" s="10"/>
      <c r="H362" s="10" t="s">
        <v>1185</v>
      </c>
      <c r="I362" s="10" t="s">
        <v>1186</v>
      </c>
      <c r="J362" s="10">
        <v>1</v>
      </c>
      <c r="K362" s="10" t="b">
        <f>FALSE()</f>
        <v>0</v>
      </c>
      <c r="L362" s="10"/>
      <c r="M362" s="10" t="s">
        <v>1187</v>
      </c>
      <c r="N362" s="10"/>
      <c r="O362" s="11" t="s">
        <v>1188</v>
      </c>
      <c r="P362" s="11"/>
      <c r="Q362" s="10"/>
    </row>
    <row r="363" ht="15" customHeight="1" spans="1:17" x14ac:dyDescent="0.25">
      <c r="A363" s="10" t="s">
        <v>1841</v>
      </c>
      <c r="B363" s="11" t="s">
        <v>1842</v>
      </c>
      <c r="C363" s="10" t="s">
        <v>241</v>
      </c>
      <c r="D363" s="10"/>
      <c r="E363" s="10"/>
      <c r="F363" s="10" t="s">
        <v>1184</v>
      </c>
      <c r="G363" s="10"/>
      <c r="H363" s="10" t="s">
        <v>1185</v>
      </c>
      <c r="I363" s="10" t="s">
        <v>1186</v>
      </c>
      <c r="J363" s="10">
        <v>1</v>
      </c>
      <c r="K363" s="10" t="b">
        <f>FALSE()</f>
        <v>0</v>
      </c>
      <c r="L363" s="10"/>
      <c r="M363" s="10" t="s">
        <v>1187</v>
      </c>
      <c r="N363" s="10"/>
      <c r="O363" s="11" t="s">
        <v>1188</v>
      </c>
      <c r="P363" s="11"/>
      <c r="Q363" s="10"/>
    </row>
    <row r="364" ht="15" customHeight="1" spans="1:17" x14ac:dyDescent="0.25">
      <c r="A364" s="10" t="s">
        <v>1843</v>
      </c>
      <c r="B364" s="11" t="s">
        <v>1844</v>
      </c>
      <c r="C364" s="10" t="s">
        <v>241</v>
      </c>
      <c r="D364" s="10"/>
      <c r="E364" s="10"/>
      <c r="F364" s="10" t="s">
        <v>1184</v>
      </c>
      <c r="G364" s="10"/>
      <c r="H364" s="10" t="s">
        <v>1185</v>
      </c>
      <c r="I364" s="10" t="s">
        <v>1186</v>
      </c>
      <c r="J364" s="10">
        <v>1</v>
      </c>
      <c r="K364" s="10" t="b">
        <f>FALSE()</f>
        <v>0</v>
      </c>
      <c r="L364" s="10"/>
      <c r="M364" s="10" t="s">
        <v>1187</v>
      </c>
      <c r="N364" s="10"/>
      <c r="O364" s="11" t="s">
        <v>1188</v>
      </c>
      <c r="P364" s="11"/>
      <c r="Q364" s="10"/>
    </row>
    <row r="365" ht="15" customHeight="1" spans="1:17" x14ac:dyDescent="0.25">
      <c r="A365" s="10" t="s">
        <v>1845</v>
      </c>
      <c r="B365" s="11" t="s">
        <v>1846</v>
      </c>
      <c r="C365" s="10" t="s">
        <v>241</v>
      </c>
      <c r="D365" s="10"/>
      <c r="E365" s="10"/>
      <c r="F365" s="10" t="s">
        <v>1184</v>
      </c>
      <c r="G365" s="10"/>
      <c r="H365" s="10" t="s">
        <v>1185</v>
      </c>
      <c r="I365" s="10" t="s">
        <v>1186</v>
      </c>
      <c r="J365" s="10">
        <v>1</v>
      </c>
      <c r="K365" s="10" t="b">
        <f>FALSE()</f>
        <v>0</v>
      </c>
      <c r="L365" s="10"/>
      <c r="M365" s="10" t="s">
        <v>1187</v>
      </c>
      <c r="N365" s="10"/>
      <c r="O365" s="11" t="s">
        <v>1188</v>
      </c>
      <c r="P365" s="11"/>
      <c r="Q365" s="10"/>
    </row>
    <row r="366" ht="15" customHeight="1" spans="1:17" x14ac:dyDescent="0.25">
      <c r="A366" s="10" t="s">
        <v>1847</v>
      </c>
      <c r="B366" s="11" t="s">
        <v>1848</v>
      </c>
      <c r="C366" s="10" t="s">
        <v>241</v>
      </c>
      <c r="D366" s="10"/>
      <c r="E366" s="10"/>
      <c r="F366" s="10" t="s">
        <v>1184</v>
      </c>
      <c r="G366" s="10"/>
      <c r="H366" s="10" t="s">
        <v>1185</v>
      </c>
      <c r="I366" s="10" t="s">
        <v>1186</v>
      </c>
      <c r="J366" s="10">
        <v>1</v>
      </c>
      <c r="K366" s="10" t="b">
        <f>FALSE()</f>
        <v>0</v>
      </c>
      <c r="L366" s="10"/>
      <c r="M366" s="10" t="s">
        <v>1187</v>
      </c>
      <c r="N366" s="10"/>
      <c r="O366" s="11" t="s">
        <v>1188</v>
      </c>
      <c r="P366" s="11"/>
      <c r="Q366" s="10"/>
    </row>
    <row r="367" ht="15" customHeight="1" spans="1:17" x14ac:dyDescent="0.25">
      <c r="A367" s="10" t="s">
        <v>1849</v>
      </c>
      <c r="B367" s="11" t="s">
        <v>1850</v>
      </c>
      <c r="C367" s="10" t="s">
        <v>241</v>
      </c>
      <c r="D367" s="10"/>
      <c r="E367" s="10"/>
      <c r="F367" s="10" t="s">
        <v>1184</v>
      </c>
      <c r="G367" s="10"/>
      <c r="H367" s="10" t="s">
        <v>1185</v>
      </c>
      <c r="I367" s="10" t="s">
        <v>1186</v>
      </c>
      <c r="J367" s="10">
        <v>1</v>
      </c>
      <c r="K367" s="10" t="b">
        <f>FALSE()</f>
        <v>0</v>
      </c>
      <c r="L367" s="10"/>
      <c r="M367" s="10" t="s">
        <v>1187</v>
      </c>
      <c r="N367" s="10"/>
      <c r="O367" s="11" t="s">
        <v>1188</v>
      </c>
      <c r="P367" s="11"/>
      <c r="Q367" s="10"/>
    </row>
    <row r="368" ht="15" customHeight="1" spans="1:17" x14ac:dyDescent="0.25">
      <c r="A368" s="10" t="s">
        <v>1851</v>
      </c>
      <c r="B368" s="11" t="s">
        <v>1852</v>
      </c>
      <c r="C368" s="10" t="s">
        <v>241</v>
      </c>
      <c r="D368" s="10"/>
      <c r="E368" s="10"/>
      <c r="F368" s="10" t="s">
        <v>1184</v>
      </c>
      <c r="G368" s="10"/>
      <c r="H368" s="10" t="s">
        <v>1185</v>
      </c>
      <c r="I368" s="10" t="s">
        <v>1186</v>
      </c>
      <c r="J368" s="10">
        <v>1</v>
      </c>
      <c r="K368" s="10" t="b">
        <f>FALSE()</f>
        <v>0</v>
      </c>
      <c r="L368" s="10"/>
      <c r="M368" s="10" t="s">
        <v>1187</v>
      </c>
      <c r="N368" s="10"/>
      <c r="O368" s="11" t="s">
        <v>1188</v>
      </c>
      <c r="P368" s="11"/>
      <c r="Q368" s="10"/>
    </row>
    <row r="369" ht="15" customHeight="1" spans="1:17" x14ac:dyDescent="0.25">
      <c r="A369" s="10" t="s">
        <v>1853</v>
      </c>
      <c r="B369" s="11" t="s">
        <v>1854</v>
      </c>
      <c r="C369" s="10" t="s">
        <v>241</v>
      </c>
      <c r="D369" s="10"/>
      <c r="E369" s="10"/>
      <c r="F369" s="10" t="s">
        <v>1184</v>
      </c>
      <c r="G369" s="10"/>
      <c r="H369" s="10" t="s">
        <v>1185</v>
      </c>
      <c r="I369" s="10" t="s">
        <v>1186</v>
      </c>
      <c r="J369" s="10">
        <v>1</v>
      </c>
      <c r="K369" s="10" t="b">
        <f>FALSE()</f>
        <v>0</v>
      </c>
      <c r="L369" s="10"/>
      <c r="M369" s="10" t="s">
        <v>1187</v>
      </c>
      <c r="N369" s="10"/>
      <c r="O369" s="11" t="s">
        <v>1188</v>
      </c>
      <c r="P369" s="11"/>
      <c r="Q369" s="10"/>
    </row>
    <row r="370" ht="15" customHeight="1" spans="1:17" x14ac:dyDescent="0.25">
      <c r="A370" s="10" t="s">
        <v>1855</v>
      </c>
      <c r="B370" s="11" t="s">
        <v>1856</v>
      </c>
      <c r="C370" s="10" t="s">
        <v>241</v>
      </c>
      <c r="D370" s="10"/>
      <c r="E370" s="10"/>
      <c r="F370" s="10" t="s">
        <v>1184</v>
      </c>
      <c r="G370" s="10"/>
      <c r="H370" s="10" t="s">
        <v>1185</v>
      </c>
      <c r="I370" s="10" t="s">
        <v>1186</v>
      </c>
      <c r="J370" s="10">
        <v>1</v>
      </c>
      <c r="K370" s="10" t="b">
        <f>FALSE()</f>
        <v>0</v>
      </c>
      <c r="L370" s="10"/>
      <c r="M370" s="10" t="s">
        <v>1187</v>
      </c>
      <c r="N370" s="10"/>
      <c r="O370" s="11" t="s">
        <v>1188</v>
      </c>
      <c r="P370" s="11"/>
      <c r="Q370" s="10"/>
    </row>
    <row r="371" ht="15" customHeight="1" spans="1:17" x14ac:dyDescent="0.25">
      <c r="A371" s="10" t="s">
        <v>1857</v>
      </c>
      <c r="B371" s="11" t="s">
        <v>1177</v>
      </c>
      <c r="C371" s="10" t="s">
        <v>241</v>
      </c>
      <c r="D371" s="10"/>
      <c r="E371" s="10"/>
      <c r="F371" s="10" t="s">
        <v>1184</v>
      </c>
      <c r="G371" s="10"/>
      <c r="H371" s="10" t="s">
        <v>1185</v>
      </c>
      <c r="I371" s="10" t="s">
        <v>112</v>
      </c>
      <c r="J371" s="10">
        <v>3</v>
      </c>
      <c r="K371" s="10" t="b">
        <f>FALSE()</f>
        <v>0</v>
      </c>
      <c r="L371" s="10"/>
      <c r="M371" s="10" t="s">
        <v>1858</v>
      </c>
      <c r="N371" s="10" t="s">
        <v>1176</v>
      </c>
      <c r="O371" s="11" t="s">
        <v>1859</v>
      </c>
      <c r="P371" s="11"/>
      <c r="Q371" s="10"/>
    </row>
    <row r="372" ht="15" customHeight="1" spans="1:17" x14ac:dyDescent="0.25">
      <c r="A372" s="10" t="s">
        <v>1860</v>
      </c>
      <c r="B372" s="11" t="s">
        <v>1179</v>
      </c>
      <c r="C372" s="10" t="s">
        <v>241</v>
      </c>
      <c r="D372" s="10"/>
      <c r="E372" s="10"/>
      <c r="F372" s="10" t="s">
        <v>1184</v>
      </c>
      <c r="G372" s="10"/>
      <c r="H372" s="10" t="s">
        <v>1185</v>
      </c>
      <c r="I372" s="10" t="s">
        <v>112</v>
      </c>
      <c r="J372" s="10">
        <v>3</v>
      </c>
      <c r="K372" s="10" t="b">
        <f>FALSE()</f>
        <v>0</v>
      </c>
      <c r="L372" s="10"/>
      <c r="M372" s="10" t="s">
        <v>1858</v>
      </c>
      <c r="N372" s="10" t="s">
        <v>1176</v>
      </c>
      <c r="O372" s="11" t="s">
        <v>1350</v>
      </c>
      <c r="P372" s="11"/>
      <c r="Q372" s="10"/>
    </row>
  </sheetData>
  <autoFilter ref="A1:Q372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4" customWidth="1"/>
    <col min="2" max="2" width="10" customWidth="1"/>
    <col min="3" max="3" width="110" customWidth="1"/>
  </cols>
  <sheetData>
    <row r="1" ht="30" customHeight="1" spans="1:3" x14ac:dyDescent="0.25">
      <c r="A1" s="9" t="s">
        <v>1861</v>
      </c>
      <c r="B1" s="9" t="s">
        <v>1862</v>
      </c>
      <c r="C1" s="9" t="s">
        <v>1863</v>
      </c>
    </row>
    <row r="2" ht="15" customHeight="1" spans="1:3" x14ac:dyDescent="0.25">
      <c r="A2" s="10" t="s">
        <v>1864</v>
      </c>
      <c r="B2" s="10" t="s">
        <v>1865</v>
      </c>
      <c r="C2" s="11" t="s">
        <v>1866</v>
      </c>
    </row>
    <row r="3" ht="15" customHeight="1" spans="1:3" x14ac:dyDescent="0.25">
      <c r="A3" s="10" t="s">
        <v>1864</v>
      </c>
      <c r="B3" s="10" t="s">
        <v>1865</v>
      </c>
      <c r="C3" s="11" t="s">
        <v>1867</v>
      </c>
    </row>
    <row r="4" ht="23.85" customHeight="1" spans="1:3" x14ac:dyDescent="0.25">
      <c r="A4" s="10" t="s">
        <v>1864</v>
      </c>
      <c r="B4" s="10" t="s">
        <v>1865</v>
      </c>
      <c r="C4" s="11" t="s">
        <v>1868</v>
      </c>
    </row>
    <row r="5" ht="15" customHeight="1" spans="1:3" x14ac:dyDescent="0.25">
      <c r="A5" s="10" t="s">
        <v>1864</v>
      </c>
      <c r="B5" s="10" t="s">
        <v>1865</v>
      </c>
      <c r="C5" s="11" t="s">
        <v>1869</v>
      </c>
    </row>
    <row r="6" ht="15" customHeight="1" spans="1:3" x14ac:dyDescent="0.25">
      <c r="A6" s="10" t="s">
        <v>1864</v>
      </c>
      <c r="B6" s="10" t="s">
        <v>1865</v>
      </c>
      <c r="C6" s="11" t="s">
        <v>1870</v>
      </c>
    </row>
    <row r="7" ht="15" customHeight="1" spans="1:3" x14ac:dyDescent="0.25">
      <c r="A7" s="10" t="s">
        <v>1864</v>
      </c>
      <c r="B7" s="10" t="s">
        <v>1865</v>
      </c>
      <c r="C7" s="11" t="s">
        <v>1871</v>
      </c>
    </row>
    <row r="8" ht="15" customHeight="1" spans="1:3" x14ac:dyDescent="0.25">
      <c r="A8" s="10" t="s">
        <v>1864</v>
      </c>
      <c r="B8" s="10" t="s">
        <v>1865</v>
      </c>
      <c r="C8" s="11" t="s">
        <v>1872</v>
      </c>
    </row>
    <row r="9" ht="15" customHeight="1" spans="1:3" x14ac:dyDescent="0.25">
      <c r="A9" s="10" t="s">
        <v>1864</v>
      </c>
      <c r="B9" s="10" t="s">
        <v>1865</v>
      </c>
      <c r="C9" s="11" t="s">
        <v>1873</v>
      </c>
    </row>
    <row r="10" ht="15" customHeight="1" spans="1:3" x14ac:dyDescent="0.25">
      <c r="A10" s="10" t="s">
        <v>1864</v>
      </c>
      <c r="B10" s="10" t="s">
        <v>1865</v>
      </c>
      <c r="C10" s="11" t="s">
        <v>1874</v>
      </c>
    </row>
  </sheetData>
  <autoFilter ref="A1:C10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Anchor_Core_Set</vt:lpstr>
      <vt:lpstr>Region_Enum</vt:lpstr>
      <vt:lpstr>Organ_Mapping_Crosswalk</vt:lpstr>
      <vt:lpstr>Reference_Intervals</vt:lpstr>
      <vt:lpstr>LOINC_Map</vt:lpstr>
      <vt:lpstr>Data_Quality_Findings</vt:lpstr>
      <vt:lpstr>C3_Audit</vt:lpstr>
      <vt:lpstr>Panel_Decomposition</vt:lpstr>
      <vt:lpstr>Exclusions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2026-07-28T13:48:09Z</dcterms:created>
  <dcterms:modified xsi:type="dcterms:W3CDTF">2026-07-28T13:48:10Z</dcterms:modified>
</cp:coreProperties>
</file>